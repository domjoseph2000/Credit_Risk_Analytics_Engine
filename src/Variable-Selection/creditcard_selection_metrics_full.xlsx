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A:\Dominic\My Projects\Home Credit\src\Variable-Selection\"/>
    </mc:Choice>
  </mc:AlternateContent>
  <xr:revisionPtr revIDLastSave="0" documentId="13_ncr:1_{18EAEB92-F19C-4682-91DD-5171A2BC4D0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Sheet1!$A$1:$K$111</definedName>
  </definedNames>
  <calcPr calcId="191029"/>
</workbook>
</file>

<file path=xl/calcChain.xml><?xml version="1.0" encoding="utf-8"?>
<calcChain xmlns="http://schemas.openxmlformats.org/spreadsheetml/2006/main">
  <c r="L111" i="1" l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<sst xmlns="http://schemas.openxmlformats.org/spreadsheetml/2006/main" count="121" uniqueCount="121">
  <si>
    <t>variable</t>
  </si>
  <si>
    <t>missing_count</t>
  </si>
  <si>
    <t>auc_score</t>
  </si>
  <si>
    <t>gini_abs</t>
  </si>
  <si>
    <t>t_statistic</t>
  </si>
  <si>
    <t>p_value</t>
  </si>
  <si>
    <t>mean_group1</t>
  </si>
  <si>
    <t>mean_group2</t>
  </si>
  <si>
    <t>cohens_d</t>
  </si>
  <si>
    <t>coef</t>
  </si>
  <si>
    <t>points</t>
  </si>
  <si>
    <t>CREDITCARD_MAX_DURATION</t>
  </si>
  <si>
    <t>CREDITCARD_AVG_LIMIT_AMOUNT</t>
  </si>
  <si>
    <t>CREDITCARD_AVG_BALANCE_AMOUNT</t>
  </si>
  <si>
    <t>CREDITCARD_AVG_DRAWING_AMOUNT</t>
  </si>
  <si>
    <t>CREDITCARD_AVG_PAYMENT_AMOUNT</t>
  </si>
  <si>
    <t>CREDITCARD_MAX_UTILIZATION_RATE</t>
  </si>
  <si>
    <t>CREDITCARD_AVG_PAYMENT_RATE</t>
  </si>
  <si>
    <t>CREDITCARD_AVG_DRAWING_TO_PAYMENT_RATE</t>
  </si>
  <si>
    <t>CREDITCARD_AVG_INTCOVERAGE_RATE</t>
  </si>
  <si>
    <t>CREDITCARD_AVG_POSAMT_RATE</t>
  </si>
  <si>
    <t>CREDITCARD_AVG_ATMAMT_RATE</t>
  </si>
  <si>
    <t>CREDITCARD_AVG_POSCOUNT_RATE</t>
  </si>
  <si>
    <t>CREDITCARD_AVG_ATMCOUNT_RATE</t>
  </si>
  <si>
    <t>CREDITCARD_AVG_REPAYMENTCOUNT_RATE</t>
  </si>
  <si>
    <t>CREDITCARD_ISNULL_DRAWINGS_CURRENT_FLAG</t>
  </si>
  <si>
    <t>CREDITCARD_MAX_DPD</t>
  </si>
  <si>
    <t>CREDITCARD_MAX_DPDUTP</t>
  </si>
  <si>
    <t>CREDITCARD_DAYS_IN_DPD_RATIO</t>
  </si>
  <si>
    <t>CREDITCARD_AVG_AMT_BALANCE_YOY_PCT_CHANGE</t>
  </si>
  <si>
    <t>CREDITCARD_AVG_AMT_CREDIT_LIMIT_ACTUAL_YOY_PCT_CHANGE</t>
  </si>
  <si>
    <t>CREDITCARD_AVG_AMT_DRAWINGS_CURRENT_YOY_PCT_CHANGE</t>
  </si>
  <si>
    <t>CREDITCARD_AVG_AMT_PAYMENT_TOTAL_CURRENT_YOY_PCT_CHANGE</t>
  </si>
  <si>
    <t>CREDITCARD_AVG_CNT_DRAWINGS_CURRENT_YOY_ABS_CHANGE</t>
  </si>
  <si>
    <t>CREDITCARD_AVG_CNT_INSTALMENT_MATURE_CUM_YOY_ABS_CHANGE</t>
  </si>
  <si>
    <t>CREDITCARD_AVG_SK_DPD_YOY_ABS_CHANGE</t>
  </si>
  <si>
    <t>CREDITCARD_AVG_LY_LIMIT_AMOUNT</t>
  </si>
  <si>
    <t>CREDITCARD_AVG_LY_BALANCE_AMOUNT</t>
  </si>
  <si>
    <t>CREDITCARD_AVG_LY_DRAWING_AMOUNT</t>
  </si>
  <si>
    <t>CREDITCARD_AVG_LY_PAYMENT_AMOUNT</t>
  </si>
  <si>
    <t>CREDITCARD_MAX_LY_UTILIZATION_RATE</t>
  </si>
  <si>
    <t>CREDITCARD_AVG_LY_PAYMENT_RATE</t>
  </si>
  <si>
    <t>CREDITCARD_AVG_LY_DRAWING_TO_PAYMENT_RATE</t>
  </si>
  <si>
    <t>CREDITCARD_AVG_LY_INTCOVERAGE_RATE</t>
  </si>
  <si>
    <t>CREDITCARD_AVG_LY_POSAMT_RATE</t>
  </si>
  <si>
    <t>CREDITCARD_AVG_LY_ATMAMT_RATE</t>
  </si>
  <si>
    <t>CREDITCARD_AVG_LY_POSCOUNT_RATE</t>
  </si>
  <si>
    <t>CREDITCARD_AVG_LY_ATMCOUNT_RATE</t>
  </si>
  <si>
    <t>CREDITCARD_AVG_LY_REPAYMENTCOUNT_RATE</t>
  </si>
  <si>
    <t>CREDITCARD_MAX_LY_DPD</t>
  </si>
  <si>
    <t>CREDITCARD_MAX_LY_DPDUTP</t>
  </si>
  <si>
    <t>CREDITCARD_LY_DAYS_IN_DPD_RATIO</t>
  </si>
  <si>
    <t>CREDITCARD_AVG_LY_AMT_BALANCE_YOY_PCT_CHANGE</t>
  </si>
  <si>
    <t>CREDITCARD_AVG_LY_AMT_CREDIT_LIMIT_ACTUAL_YOY_PCT_CHANGE</t>
  </si>
  <si>
    <t>CREDITCARD_AVG_LY_AMT_DRAWINGS_CURRENT_YOY_PCT_CHANGE</t>
  </si>
  <si>
    <t>CREDITCARD_AVG_LY_AMT_PAYMENT_TOTAL_CURRENT_YOY_PCT_CHANGE</t>
  </si>
  <si>
    <t>CREDITCARD_AVG_LY_CNT_DRAWINGS_CURRENT_YOY_ABS_CHANGE</t>
  </si>
  <si>
    <t>CREDITCARD_AVG_LY_CNT_INSTALMENT_MATURE_CUM_YOY_ABS_CHANGE</t>
  </si>
  <si>
    <t>CREDITCARD_AVG_LY_SK_DPD_YOY_ABS_CHANGE</t>
  </si>
  <si>
    <t>CREDITCARD_AVG_LS_LIMIT_AMOUNT</t>
  </si>
  <si>
    <t>CREDITCARD_AVG_LS_BALANCE_AMOUNT</t>
  </si>
  <si>
    <t>CREDITCARD_AVG_LS_DRAWING_AMOUNT</t>
  </si>
  <si>
    <t>CREDITCARD_AVG_LS_PAYMENT_AMOUNT</t>
  </si>
  <si>
    <t>CREDITCARD_MAX_LS_UTILIZATION_RATE</t>
  </si>
  <si>
    <t>CREDITCARD_AVG_LS_PAYMENT_RATE</t>
  </si>
  <si>
    <t>CREDITCARD_AVG_LS_DRAWING_TO_PAYMENT_RATE</t>
  </si>
  <si>
    <t>CREDITCARD_AVG_LS_INTCOVERAGE_RATE</t>
  </si>
  <si>
    <t>CREDITCARD_AVG_LS_POSAMT_RATE</t>
  </si>
  <si>
    <t>CREDITCARD_AVG_LS_ATMAMT_RATE</t>
  </si>
  <si>
    <t>CREDITCARD_AVG_LS_POSCOUNT_RATE</t>
  </si>
  <si>
    <t>CREDITCARD_AVG_LS_ATMCOUNT_RATE</t>
  </si>
  <si>
    <t>CREDITCARD_AVG_LS_REPAYMENTCOUNT_RATE</t>
  </si>
  <si>
    <t>CREDITCARD_MAX_LS_DPD</t>
  </si>
  <si>
    <t>CREDITCARD_MAX_LS_DPDUTP</t>
  </si>
  <si>
    <t>CREDITCARD_LS_DAYS_IN_DPD_RATIO</t>
  </si>
  <si>
    <t>CREDITCARD_AVG_LS_AMT_BALANCE_YOY_PCT_CHANGE</t>
  </si>
  <si>
    <t>CREDITCARD_AVG_LS_AMT_CREDIT_LIMIT_ACTUAL_YOY_PCT_CHANGE</t>
  </si>
  <si>
    <t>CREDITCARD_AVG_LS_AMT_DRAWINGS_CURRENT_YOY_PCT_CHANGE</t>
  </si>
  <si>
    <t>CREDITCARD_AVG_LS_AMT_PAYMENT_TOTAL_CURRENT_YOY_PCT_CHANGE</t>
  </si>
  <si>
    <t>CREDITCARD_AVG_LS_CNT_DRAWINGS_CURRENT_YOY_ABS_CHANGE</t>
  </si>
  <si>
    <t>CREDITCARD_AVG_LS_CNT_INSTALMENT_MATURE_CUM_YOY_ABS_CHANGE</t>
  </si>
  <si>
    <t>CREDITCARD_AVG_LS_SK_DPD_YOY_ABS_CHANGE</t>
  </si>
  <si>
    <t>CREDITCARD_DAYS_TO_DPD_GE7</t>
  </si>
  <si>
    <t>CREDITCARD_DAYS_TO_DPD_GE1</t>
  </si>
  <si>
    <t>CREDITCARD_LAST_MONTH_MONTHS_BALANCE</t>
  </si>
  <si>
    <t>CREDITCARD_LAST_MONTH_AMT_BALANCE</t>
  </si>
  <si>
    <t>CREDITCARD_LAST_MONTH_AMT_CREDIT_LIMIT_ACTUAL</t>
  </si>
  <si>
    <t>CREDITCARD_LAST_MONTH_AMT_DRAWINGS_ATM_CURRENT</t>
  </si>
  <si>
    <t>CREDITCARD_LAST_MONTH_AMT_DRAWINGS_CURRENT</t>
  </si>
  <si>
    <t>CREDITCARD_LAST_MONTH_AMT_DRAWINGS_POS_CURRENT</t>
  </si>
  <si>
    <t>CREDITCARD_LAST_MONTH_AMT_PAYMENT_CURRENT</t>
  </si>
  <si>
    <t>CREDITCARD_LAST_MONTH_AMT_PAYMENT_TOTAL_CURRENT</t>
  </si>
  <si>
    <t>CREDITCARD_LAST_MONTH_AMT_RECEIVABLE_PRINCIPAL</t>
  </si>
  <si>
    <t>CREDITCARD_LAST_MONTH_AMT_RECIVABLE</t>
  </si>
  <si>
    <t>CREDITCARD_LAST_MONTH_AMT_TOTAL_RECEIVABLE</t>
  </si>
  <si>
    <t>CREDITCARD_LAST_MONTH_CNT_DRAWINGS_ATM_CURRENT</t>
  </si>
  <si>
    <t>CREDITCARD_LAST_MONTH_CNT_DRAWINGS_CURRENT</t>
  </si>
  <si>
    <t>CREDITCARD_LAST_MONTH_CNT_DRAWINGS_POS_CURRENT</t>
  </si>
  <si>
    <t>CREDITCARD_LAST_MONTH_CNT_INSTALMENT_MATURE_CUM</t>
  </si>
  <si>
    <t>CREDITCARD_LAST_MONTH_SK_DPD</t>
  </si>
  <si>
    <t>CREDITCARD_LAST_MONTH_SK_DPD_DEF</t>
  </si>
  <si>
    <t>CREDITCARD_LAST_MONTH_AMT_BALANCE_YOY_PCT_CHANGE</t>
  </si>
  <si>
    <t>CREDITCARD_LAST_MONTH_AMT_CREDIT_LIMIT_ACTUAL_YOY_PCT_CHANGE</t>
  </si>
  <si>
    <t>CREDITCARD_LAST_MONTH_AMT_DRAWINGS_CURRENT_YOY_PCT_CHANGE</t>
  </si>
  <si>
    <t>CREDITCARD_LAST_MONTH_AMT_PAYMENT_TOTAL_CURRENT_YOY_PCT_CHANGE</t>
  </si>
  <si>
    <t>CREDITCARD_LAST_MONTH_SK_DPD_YOY_ABS_CHANGE</t>
  </si>
  <si>
    <t>CREDITCARD_LAST_MONTH_CNT_DRAWINGS_CURRENT_YOY_ABS_CHANGE</t>
  </si>
  <si>
    <t>CREDITCARD_LAST_MONTH_CNT_INSTALMENT_MATURE_CUM_YOY_ABS_CHANGE</t>
  </si>
  <si>
    <t>CREDITCARD_LAST_MONTH_UTILIZATION_RATIO</t>
  </si>
  <si>
    <t>CREDITCARD_LAST_MONTH_PAYMENT_RATIO</t>
  </si>
  <si>
    <t>CREDITCARD_LAST_MONTH_DRAWING_TO_PYMNT_RATIO</t>
  </si>
  <si>
    <t>CREDITCARD_LAST_MONTH_INT_COVERAGE_RATIO</t>
  </si>
  <si>
    <t>CREDITCARD_LAST_MONTH_POS_DRAWING_AMT_RATIO</t>
  </si>
  <si>
    <t>CREDITCARD_LAST_MONTH_ATM_DRAWING_AMT_RATIO</t>
  </si>
  <si>
    <t>CREDITCARD_LAST_MONTH_POS_DRAWING_CNT_RATIO</t>
  </si>
  <si>
    <t>CREDITCARD_LAST_MONTH_ATM_DRAWING_CNT_RATIO</t>
  </si>
  <si>
    <t>CREDITCARD_LAST_MONTH_ISNULL_DRAWINGS_CURRENT_FLAG</t>
  </si>
  <si>
    <t>CREDITCARD_LAST_MONTH_DPD_GE_1</t>
  </si>
  <si>
    <t>CREDITCARD_LAST_MONTH_DPD_GE_7</t>
  </si>
  <si>
    <t>CREDITCARD_LAST_MONTH_DPD_GE_30</t>
  </si>
  <si>
    <t>CREDITCARD_LAST_MONTH_DPD_UTP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</si>
</sst>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"/>
  <sheetViews>
    <sheetView tabSelected="1" workbookViewId="0">
      <selection activeCell="K2" sqref="K2:K111"/>
    </sheetView>
  </sheetViews>
  <sheetFormatPr defaultRowHeight="14.4" x14ac:dyDescent="0.3"/>
  <cols>
    <col min="1" max="1" width="55.33203125" customWidth="1"/>
    <col min="2" max="2" width="13.21875" bestFit="1" customWidth="1"/>
    <col min="3" max="4" width="12" bestFit="1" customWidth="1"/>
    <col min="5" max="5" width="12.6640625" bestFit="1" customWidth="1"/>
    <col min="6" max="6" width="12" bestFit="1" customWidth="1"/>
    <col min="7" max="8" width="12.77734375" bestFit="1" customWidth="1"/>
    <col min="9" max="10" width="12.6640625" bestFit="1" customWidth="1"/>
    <col min="11" max="11" width="6.2187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2" x14ac:dyDescent="0.3">
      <c r="A2" t="s">
        <v>42</v>
      </c>
      <c r="B2">
        <v>0</v>
      </c>
      <c r="C2">
        <v>0.61168888945420308</v>
      </c>
      <c r="D2">
        <v>0.22337777890840621</v>
      </c>
      <c r="E2">
        <v>-14.3449126244738</v>
      </c>
      <c r="F2">
        <v>4.0447217733003013E-46</v>
      </c>
      <c r="G2">
        <v>231615.62680894081</v>
      </c>
      <c r="H2">
        <v>453598.0523532189</v>
      </c>
      <c r="I2">
        <v>-0.22672412576842449</v>
      </c>
      <c r="J2">
        <v>2.7467383218578679E-3</v>
      </c>
      <c r="K2">
        <v>3</v>
      </c>
      <c r="L2" t="str">
        <f>_xlfn.CONCAT("""",A2,"""",",")</f>
        <v>"CREDITCARD_AVG_LY_DRAWING_TO_PAYMENT_RATE",</v>
      </c>
    </row>
    <row r="3" spans="1:12" x14ac:dyDescent="0.3">
      <c r="A3" t="s">
        <v>111</v>
      </c>
      <c r="B3">
        <v>0</v>
      </c>
      <c r="C3">
        <v>0.60777303216295797</v>
      </c>
      <c r="D3">
        <v>0.21554606432591589</v>
      </c>
      <c r="E3">
        <v>-5.2054226978413194</v>
      </c>
      <c r="F3">
        <v>1.9827896714019389E-7</v>
      </c>
      <c r="G3">
        <v>20192.171860134171</v>
      </c>
      <c r="H3">
        <v>42101.167863777373</v>
      </c>
      <c r="I3">
        <v>-9.2145712286487255E-2</v>
      </c>
      <c r="J3">
        <v>1.398158670374347E-2</v>
      </c>
      <c r="K3">
        <v>3</v>
      </c>
      <c r="L3" t="str">
        <f t="shared" ref="L3:L66" si="0">_xlfn.CONCAT("""",A3,"""",",")</f>
        <v>"CREDITCARD_LAST_MONTH_INT_COVERAGE_RATIO",</v>
      </c>
    </row>
    <row r="4" spans="1:12" x14ac:dyDescent="0.3">
      <c r="A4" t="s">
        <v>47</v>
      </c>
      <c r="B4">
        <v>0</v>
      </c>
      <c r="C4">
        <v>0.60581689679519302</v>
      </c>
      <c r="D4">
        <v>0.211633793590386</v>
      </c>
      <c r="E4">
        <v>-26.09026357449476</v>
      </c>
      <c r="F4">
        <v>2.1481365810284231E-144</v>
      </c>
      <c r="G4">
        <v>5.4653199223586553</v>
      </c>
      <c r="H4">
        <v>10.0667369782958</v>
      </c>
      <c r="I4">
        <v>-0.38859667038176582</v>
      </c>
      <c r="J4">
        <v>9.9282004038702104E-2</v>
      </c>
      <c r="K4">
        <v>3</v>
      </c>
      <c r="L4" t="str">
        <f t="shared" si="0"/>
        <v>"CREDITCARD_AVG_LY_ATMCOUNT_RATE",</v>
      </c>
    </row>
    <row r="5" spans="1:12" x14ac:dyDescent="0.3">
      <c r="A5" t="s">
        <v>18</v>
      </c>
      <c r="B5">
        <v>0</v>
      </c>
      <c r="C5">
        <v>0.60518439020749526</v>
      </c>
      <c r="D5">
        <v>0.21036878041499049</v>
      </c>
      <c r="E5">
        <v>-16.152040280147219</v>
      </c>
      <c r="F5">
        <v>8.1782614687675789E-58</v>
      </c>
      <c r="G5">
        <v>344868.53099739668</v>
      </c>
      <c r="H5">
        <v>597564.57447347196</v>
      </c>
      <c r="I5">
        <v>-0.25181584872856527</v>
      </c>
      <c r="J5">
        <v>5.1925865960340753E-2</v>
      </c>
      <c r="K5">
        <v>3</v>
      </c>
      <c r="L5" t="str">
        <f t="shared" si="0"/>
        <v>"CREDITCARD_AVG_DRAWING_TO_PAYMENT_RATE",</v>
      </c>
    </row>
    <row r="6" spans="1:12" x14ac:dyDescent="0.3">
      <c r="A6" t="s">
        <v>13</v>
      </c>
      <c r="B6">
        <v>0</v>
      </c>
      <c r="C6">
        <v>0.60463508379358877</v>
      </c>
      <c r="D6">
        <v>0.20927016758717751</v>
      </c>
      <c r="E6">
        <v>-22.602005075819601</v>
      </c>
      <c r="F6">
        <v>5.9923626670778517E-110</v>
      </c>
      <c r="G6">
        <v>68419.446327447324</v>
      </c>
      <c r="H6">
        <v>102137.3715002039</v>
      </c>
      <c r="I6">
        <v>-0.31055160310542662</v>
      </c>
      <c r="J6">
        <v>0.26411428666053249</v>
      </c>
      <c r="K6">
        <v>3</v>
      </c>
      <c r="L6" t="str">
        <f t="shared" si="0"/>
        <v>"CREDITCARD_AVG_BALANCE_AMOUNT",</v>
      </c>
    </row>
    <row r="7" spans="1:12" x14ac:dyDescent="0.3">
      <c r="A7" t="s">
        <v>85</v>
      </c>
      <c r="B7">
        <v>0</v>
      </c>
      <c r="C7">
        <v>0.6026335176202664</v>
      </c>
      <c r="D7">
        <v>0.2052670352405328</v>
      </c>
      <c r="E7">
        <v>-23.438982371390189</v>
      </c>
      <c r="F7">
        <v>7.7577124990296811E-118</v>
      </c>
      <c r="G7">
        <v>72184.379051300988</v>
      </c>
      <c r="H7">
        <v>120892.5229328063</v>
      </c>
      <c r="I7">
        <v>-0.32572116633777182</v>
      </c>
      <c r="J7">
        <v>0.34901121063862461</v>
      </c>
      <c r="K7">
        <v>3</v>
      </c>
      <c r="L7" t="str">
        <f t="shared" si="0"/>
        <v>"CREDITCARD_LAST_MONTH_AMT_BALANCE",</v>
      </c>
    </row>
    <row r="8" spans="1:12" x14ac:dyDescent="0.3">
      <c r="A8" t="s">
        <v>23</v>
      </c>
      <c r="B8">
        <v>0</v>
      </c>
      <c r="C8">
        <v>0.60230143209157005</v>
      </c>
      <c r="D8">
        <v>0.20460286418314011</v>
      </c>
      <c r="E8">
        <v>-25.687143011053699</v>
      </c>
      <c r="F8">
        <v>3.287353735710541E-140</v>
      </c>
      <c r="G8">
        <v>7.037060005374471</v>
      </c>
      <c r="H8">
        <v>11.3096386124672</v>
      </c>
      <c r="I8">
        <v>-0.37659199229922052</v>
      </c>
      <c r="J8">
        <v>0.10451049214431681</v>
      </c>
      <c r="K8">
        <v>3</v>
      </c>
      <c r="L8" t="str">
        <f t="shared" si="0"/>
        <v>"CREDITCARD_AVG_ATMCOUNT_RATE",</v>
      </c>
    </row>
    <row r="9" spans="1:12" x14ac:dyDescent="0.3">
      <c r="A9" t="s">
        <v>65</v>
      </c>
      <c r="B9">
        <v>0</v>
      </c>
      <c r="C9">
        <v>0.5972630661738666</v>
      </c>
      <c r="D9">
        <v>0.19452613234773319</v>
      </c>
      <c r="E9">
        <v>-9.5281998704239754</v>
      </c>
      <c r="F9">
        <v>2.0606747614673352E-21</v>
      </c>
      <c r="G9">
        <v>135968.9571664384</v>
      </c>
      <c r="H9">
        <v>278359.59437149239</v>
      </c>
      <c r="I9">
        <v>-0.15664567052115769</v>
      </c>
      <c r="J9">
        <v>4.6884488453122708E-2</v>
      </c>
      <c r="K9">
        <v>3</v>
      </c>
      <c r="L9" t="str">
        <f t="shared" si="0"/>
        <v>"CREDITCARD_AVG_LS_DRAWING_TO_PAYMENT_RATE",</v>
      </c>
    </row>
    <row r="10" spans="1:12" x14ac:dyDescent="0.3">
      <c r="A10" t="s">
        <v>70</v>
      </c>
      <c r="B10">
        <v>0</v>
      </c>
      <c r="C10">
        <v>0.59110452932494317</v>
      </c>
      <c r="D10">
        <v>0.18220905864988629</v>
      </c>
      <c r="E10">
        <v>-23.841525188648671</v>
      </c>
      <c r="F10">
        <v>1.21941696434373E-121</v>
      </c>
      <c r="G10">
        <v>4.9471420204418273</v>
      </c>
      <c r="H10">
        <v>9.3414964499621416</v>
      </c>
      <c r="I10">
        <v>-0.35902911746944749</v>
      </c>
      <c r="J10">
        <v>2.6974051232910249E-2</v>
      </c>
      <c r="K10">
        <v>3</v>
      </c>
      <c r="L10" t="str">
        <f t="shared" si="0"/>
        <v>"CREDITCARD_AVG_LS_ATMCOUNT_RATE",</v>
      </c>
    </row>
    <row r="11" spans="1:12" x14ac:dyDescent="0.3">
      <c r="A11" t="s">
        <v>39</v>
      </c>
      <c r="B11">
        <v>0</v>
      </c>
      <c r="C11">
        <v>0.58695595999937833</v>
      </c>
      <c r="D11">
        <v>0.17391191999875669</v>
      </c>
      <c r="E11">
        <v>-8.43669405357047</v>
      </c>
      <c r="F11">
        <v>3.7404817761503781E-17</v>
      </c>
      <c r="G11">
        <v>9453.1630268821264</v>
      </c>
      <c r="H11">
        <v>11667.61867983163</v>
      </c>
      <c r="I11">
        <v>-9.1862388427715852E-2</v>
      </c>
      <c r="J11">
        <v>5.791361041365288E-2</v>
      </c>
      <c r="K11">
        <v>3</v>
      </c>
      <c r="L11" t="str">
        <f t="shared" si="0"/>
        <v>"CREDITCARD_AVG_LY_PAYMENT_AMOUNT",</v>
      </c>
    </row>
    <row r="12" spans="1:12" x14ac:dyDescent="0.3">
      <c r="A12" t="s">
        <v>91</v>
      </c>
      <c r="B12">
        <v>0</v>
      </c>
      <c r="C12">
        <v>0.5852556364603777</v>
      </c>
      <c r="D12">
        <v>0.17051127292075541</v>
      </c>
      <c r="E12">
        <v>-3.4342727718473371</v>
      </c>
      <c r="F12">
        <v>5.9684069761719498E-4</v>
      </c>
      <c r="G12">
        <v>7928.1212011970647</v>
      </c>
      <c r="H12">
        <v>9496.3149723320184</v>
      </c>
      <c r="I12">
        <v>-4.2935584297895152E-2</v>
      </c>
      <c r="J12">
        <v>9.182843446621923E-3</v>
      </c>
      <c r="K12">
        <v>3</v>
      </c>
      <c r="L12" t="str">
        <f t="shared" si="0"/>
        <v>"CREDITCARD_LAST_MONTH_AMT_PAYMENT_TOTAL_CURRENT",</v>
      </c>
    </row>
    <row r="13" spans="1:12" x14ac:dyDescent="0.3">
      <c r="A13" t="s">
        <v>19</v>
      </c>
      <c r="B13">
        <v>0</v>
      </c>
      <c r="C13">
        <v>0.58433341651371007</v>
      </c>
      <c r="D13">
        <v>0.16866683302742011</v>
      </c>
      <c r="E13">
        <v>-10.0732182550983</v>
      </c>
      <c r="F13">
        <v>9.6699433710708571E-24</v>
      </c>
      <c r="G13">
        <v>22093.579069428091</v>
      </c>
      <c r="H13">
        <v>36713.989273374689</v>
      </c>
      <c r="I13">
        <v>-0.1216136658782843</v>
      </c>
      <c r="J13">
        <v>0.1091354553496752</v>
      </c>
      <c r="K13">
        <v>3</v>
      </c>
      <c r="L13" t="str">
        <f t="shared" si="0"/>
        <v>"CREDITCARD_AVG_INTCOVERAGE_RATE",</v>
      </c>
    </row>
    <row r="14" spans="1:12" x14ac:dyDescent="0.3">
      <c r="A14" t="s">
        <v>22</v>
      </c>
      <c r="B14">
        <v>0</v>
      </c>
      <c r="C14">
        <v>0.57883984920100473</v>
      </c>
      <c r="D14">
        <v>0.15767969840200949</v>
      </c>
      <c r="E14">
        <v>-18.750002910550439</v>
      </c>
      <c r="F14">
        <v>6.3053355556453808E-77</v>
      </c>
      <c r="G14">
        <v>9.7251162788388594</v>
      </c>
      <c r="H14">
        <v>14.876728374921409</v>
      </c>
      <c r="I14">
        <v>-0.25521284522882459</v>
      </c>
      <c r="J14">
        <v>0.47862790952045481</v>
      </c>
      <c r="K14">
        <v>3</v>
      </c>
      <c r="L14" t="str">
        <f t="shared" si="0"/>
        <v>"CREDITCARD_AVG_POSCOUNT_RATE",</v>
      </c>
    </row>
    <row r="15" spans="1:12" x14ac:dyDescent="0.3">
      <c r="A15" t="s">
        <v>46</v>
      </c>
      <c r="B15">
        <v>0</v>
      </c>
      <c r="C15">
        <v>0.57721818242528977</v>
      </c>
      <c r="D15">
        <v>0.15443636485057949</v>
      </c>
      <c r="E15">
        <v>-18.51016064992892</v>
      </c>
      <c r="F15">
        <v>4.6312399755104868E-75</v>
      </c>
      <c r="G15">
        <v>9.8280944341656493</v>
      </c>
      <c r="H15">
        <v>15.092228115651819</v>
      </c>
      <c r="I15">
        <v>-0.2489682649103753</v>
      </c>
      <c r="J15">
        <v>2.4244414212014811E-2</v>
      </c>
      <c r="K15">
        <v>3</v>
      </c>
      <c r="L15" t="str">
        <f t="shared" si="0"/>
        <v>"CREDITCARD_AVG_LY_POSCOUNT_RATE",</v>
      </c>
    </row>
    <row r="16" spans="1:12" x14ac:dyDescent="0.3">
      <c r="A16" t="s">
        <v>15</v>
      </c>
      <c r="B16">
        <v>0</v>
      </c>
      <c r="C16">
        <v>0.56922322016677718</v>
      </c>
      <c r="D16">
        <v>0.13844644033355441</v>
      </c>
      <c r="E16">
        <v>-7.4332296525413479</v>
      </c>
      <c r="F16">
        <v>1.150114576221246E-13</v>
      </c>
      <c r="G16">
        <v>10285.528545262599</v>
      </c>
      <c r="H16">
        <v>12015.265310789329</v>
      </c>
      <c r="I16">
        <v>-7.9160836095026735E-2</v>
      </c>
      <c r="J16">
        <v>1.8762027611747709E-2</v>
      </c>
      <c r="K16">
        <v>3</v>
      </c>
      <c r="L16" t="str">
        <f t="shared" si="0"/>
        <v>"CREDITCARD_AVG_PAYMENT_AMOUNT",</v>
      </c>
    </row>
    <row r="17" spans="1:12" x14ac:dyDescent="0.3">
      <c r="A17" t="s">
        <v>96</v>
      </c>
      <c r="B17">
        <v>0</v>
      </c>
      <c r="C17">
        <v>0.56816141572803325</v>
      </c>
      <c r="D17">
        <v>0.1363228314560665</v>
      </c>
      <c r="E17">
        <v>-11.77480163803965</v>
      </c>
      <c r="F17">
        <v>9.285356126013332E-32</v>
      </c>
      <c r="G17">
        <v>1.222245874132879</v>
      </c>
      <c r="H17">
        <v>2.059683794466403</v>
      </c>
      <c r="I17">
        <v>-0.17282211354378449</v>
      </c>
      <c r="J17">
        <v>4.3170412322461653E-2</v>
      </c>
      <c r="K17">
        <v>3</v>
      </c>
      <c r="L17" t="str">
        <f t="shared" si="0"/>
        <v>"CREDITCARD_LAST_MONTH_CNT_DRAWINGS_CURRENT",</v>
      </c>
    </row>
    <row r="18" spans="1:12" x14ac:dyDescent="0.3">
      <c r="A18" t="s">
        <v>88</v>
      </c>
      <c r="B18">
        <v>0</v>
      </c>
      <c r="C18">
        <v>0.56420361767659233</v>
      </c>
      <c r="D18">
        <v>0.12840723535318471</v>
      </c>
      <c r="E18">
        <v>-6.810320831799717</v>
      </c>
      <c r="F18">
        <v>1.0372747488455661E-11</v>
      </c>
      <c r="G18">
        <v>8404.7541645588644</v>
      </c>
      <c r="H18">
        <v>11777.96322924901</v>
      </c>
      <c r="I18">
        <v>-8.768433627541658E-2</v>
      </c>
      <c r="J18">
        <v>2.1795822357457851E-2</v>
      </c>
      <c r="K18">
        <v>3</v>
      </c>
      <c r="L18" t="str">
        <f t="shared" si="0"/>
        <v>"CREDITCARD_LAST_MONTH_AMT_DRAWINGS_CURRENT",</v>
      </c>
    </row>
    <row r="19" spans="1:12" x14ac:dyDescent="0.3">
      <c r="A19" t="s">
        <v>11</v>
      </c>
      <c r="B19">
        <v>0</v>
      </c>
      <c r="C19">
        <v>0.56054756130873851</v>
      </c>
      <c r="D19">
        <v>0.121095122617477</v>
      </c>
      <c r="E19">
        <v>-19.810753475609349</v>
      </c>
      <c r="F19">
        <v>1.283515623822691E-85</v>
      </c>
      <c r="G19">
        <v>-38.043074303172972</v>
      </c>
      <c r="H19">
        <v>-30.74611330698287</v>
      </c>
      <c r="I19">
        <v>-0.21774906789123219</v>
      </c>
      <c r="J19">
        <v>0.29735662536902518</v>
      </c>
      <c r="K19">
        <v>3</v>
      </c>
      <c r="L19" t="str">
        <f t="shared" si="0"/>
        <v>"CREDITCARD_MAX_DURATION",</v>
      </c>
    </row>
    <row r="20" spans="1:12" x14ac:dyDescent="0.3">
      <c r="A20" t="s">
        <v>108</v>
      </c>
      <c r="B20">
        <v>0</v>
      </c>
      <c r="C20">
        <v>0.62112146911921107</v>
      </c>
      <c r="D20">
        <v>0.24224293823842211</v>
      </c>
      <c r="E20">
        <v>-0.7431912129007674</v>
      </c>
      <c r="F20">
        <v>0.45738772287413981</v>
      </c>
      <c r="G20">
        <v>612.0590606874473</v>
      </c>
      <c r="H20">
        <v>1568.5343106946571</v>
      </c>
      <c r="I20">
        <v>-1.463213678405669E-2</v>
      </c>
      <c r="J20">
        <v>1.0609050651228099E-2</v>
      </c>
      <c r="K20">
        <v>2</v>
      </c>
      <c r="L20" t="str">
        <f t="shared" si="0"/>
        <v>"CREDITCARD_LAST_MONTH_UTILIZATION_RATIO",</v>
      </c>
    </row>
    <row r="21" spans="1:12" x14ac:dyDescent="0.3">
      <c r="A21" t="s">
        <v>43</v>
      </c>
      <c r="B21">
        <v>0</v>
      </c>
      <c r="C21">
        <v>0.61236427221014222</v>
      </c>
      <c r="D21">
        <v>0.22472854442028439</v>
      </c>
      <c r="E21">
        <v>-9.9168608028414269</v>
      </c>
      <c r="F21">
        <v>4.5367001612881848E-23</v>
      </c>
      <c r="G21">
        <v>17933.210367326319</v>
      </c>
      <c r="H21">
        <v>33081.369606711844</v>
      </c>
      <c r="I21">
        <v>-0.1058251534835833</v>
      </c>
      <c r="J21">
        <v>-0.1062808243521655</v>
      </c>
      <c r="K21">
        <v>2</v>
      </c>
      <c r="L21" t="str">
        <f t="shared" si="0"/>
        <v>"CREDITCARD_AVG_LY_INTCOVERAGE_RATE",</v>
      </c>
    </row>
    <row r="22" spans="1:12" x14ac:dyDescent="0.3">
      <c r="A22" t="s">
        <v>66</v>
      </c>
      <c r="B22">
        <v>0</v>
      </c>
      <c r="C22">
        <v>0.61081311408424599</v>
      </c>
      <c r="D22">
        <v>0.22162622816849201</v>
      </c>
      <c r="E22">
        <v>-8.9604169547059538</v>
      </c>
      <c r="F22">
        <v>3.8769154265328831E-19</v>
      </c>
      <c r="G22">
        <v>18050.87424266163</v>
      </c>
      <c r="H22">
        <v>34691.498680469427</v>
      </c>
      <c r="I22">
        <v>-0.1084632112752793</v>
      </c>
      <c r="J22">
        <v>0</v>
      </c>
      <c r="K22">
        <v>2</v>
      </c>
      <c r="L22" t="str">
        <f t="shared" si="0"/>
        <v>"CREDITCARD_AVG_LS_INTCOVERAGE_RATE",</v>
      </c>
    </row>
    <row r="23" spans="1:12" x14ac:dyDescent="0.3">
      <c r="A23" t="s">
        <v>37</v>
      </c>
      <c r="B23">
        <v>0</v>
      </c>
      <c r="C23">
        <v>0.60655931052871204</v>
      </c>
      <c r="D23">
        <v>0.2131186210574241</v>
      </c>
      <c r="E23">
        <v>-22.226893138866622</v>
      </c>
      <c r="F23">
        <v>1.6876250153359859E-106</v>
      </c>
      <c r="G23">
        <v>63465.999489636517</v>
      </c>
      <c r="H23">
        <v>101463.0366389698</v>
      </c>
      <c r="I23">
        <v>-0.30251858291268152</v>
      </c>
      <c r="J23">
        <v>0</v>
      </c>
      <c r="K23">
        <v>2</v>
      </c>
      <c r="L23" t="str">
        <f t="shared" si="0"/>
        <v>"CREDITCARD_AVG_LY_BALANCE_AMOUNT",</v>
      </c>
    </row>
    <row r="24" spans="1:12" x14ac:dyDescent="0.3">
      <c r="A24" t="s">
        <v>14</v>
      </c>
      <c r="B24">
        <v>0</v>
      </c>
      <c r="C24">
        <v>0.60644582177642459</v>
      </c>
      <c r="D24">
        <v>0.2128916435528492</v>
      </c>
      <c r="E24">
        <v>-17.454326265702271</v>
      </c>
      <c r="F24">
        <v>3.8753881517461351E-67</v>
      </c>
      <c r="G24">
        <v>13463.268063716911</v>
      </c>
      <c r="H24">
        <v>18975.896793007651</v>
      </c>
      <c r="I24">
        <v>-0.20643770408765291</v>
      </c>
      <c r="J24">
        <v>-0.25648812165808949</v>
      </c>
      <c r="K24">
        <v>2</v>
      </c>
      <c r="L24" t="str">
        <f t="shared" si="0"/>
        <v>"CREDITCARD_AVG_DRAWING_AMOUNT",</v>
      </c>
    </row>
    <row r="25" spans="1:12" x14ac:dyDescent="0.3">
      <c r="A25" t="s">
        <v>45</v>
      </c>
      <c r="B25">
        <v>0</v>
      </c>
      <c r="C25">
        <v>0.60635493871856505</v>
      </c>
      <c r="D25">
        <v>0.2127098774371301</v>
      </c>
      <c r="E25">
        <v>-27.63403382777588</v>
      </c>
      <c r="F25">
        <v>4.6722711180034149E-161</v>
      </c>
      <c r="G25">
        <v>9.3511231646727389</v>
      </c>
      <c r="H25">
        <v>17.06196490842089</v>
      </c>
      <c r="I25">
        <v>-0.40127268383990511</v>
      </c>
      <c r="J25">
        <v>-7.9911611166413363E-2</v>
      </c>
      <c r="K25">
        <v>2</v>
      </c>
      <c r="L25" t="str">
        <f t="shared" si="0"/>
        <v>"CREDITCARD_AVG_LY_ATMAMT_RATE",</v>
      </c>
    </row>
    <row r="26" spans="1:12" x14ac:dyDescent="0.3">
      <c r="A26" t="s">
        <v>21</v>
      </c>
      <c r="B26">
        <v>0</v>
      </c>
      <c r="C26">
        <v>0.60534134491351999</v>
      </c>
      <c r="D26">
        <v>0.21068268982704</v>
      </c>
      <c r="E26">
        <v>-26.141002172450609</v>
      </c>
      <c r="F26">
        <v>3.9117171270717999E-146</v>
      </c>
      <c r="G26">
        <v>11.622445362740979</v>
      </c>
      <c r="H26">
        <v>18.771864049681621</v>
      </c>
      <c r="I26">
        <v>-0.2327289046685653</v>
      </c>
      <c r="J26">
        <v>0</v>
      </c>
      <c r="K26">
        <v>2</v>
      </c>
      <c r="L26" t="str">
        <f t="shared" si="0"/>
        <v>"CREDITCARD_AVG_ATMAMT_RATE",</v>
      </c>
    </row>
    <row r="27" spans="1:12" x14ac:dyDescent="0.3">
      <c r="A27" t="s">
        <v>60</v>
      </c>
      <c r="B27">
        <v>0</v>
      </c>
      <c r="C27">
        <v>0.6042380072027409</v>
      </c>
      <c r="D27">
        <v>0.2084760144054818</v>
      </c>
      <c r="E27">
        <v>-22.338628198058771</v>
      </c>
      <c r="F27">
        <v>1.6068742358834889E-107</v>
      </c>
      <c r="G27">
        <v>67299.822306059199</v>
      </c>
      <c r="H27">
        <v>109282.3016795455</v>
      </c>
      <c r="I27">
        <v>-0.30523156792159578</v>
      </c>
      <c r="J27">
        <v>-0.2369977816909504</v>
      </c>
      <c r="K27">
        <v>2</v>
      </c>
      <c r="L27" t="str">
        <f t="shared" si="0"/>
        <v>"CREDITCARD_AVG_LS_BALANCE_AMOUNT",</v>
      </c>
    </row>
    <row r="28" spans="1:12" x14ac:dyDescent="0.3">
      <c r="A28" t="s">
        <v>38</v>
      </c>
      <c r="B28">
        <v>0</v>
      </c>
      <c r="C28">
        <v>0.60239809339754014</v>
      </c>
      <c r="D28">
        <v>0.2047961867950803</v>
      </c>
      <c r="E28">
        <v>-16.175731587416191</v>
      </c>
      <c r="F28">
        <v>4.7566378680959177E-58</v>
      </c>
      <c r="G28">
        <v>11445.893893104751</v>
      </c>
      <c r="H28">
        <v>16749.34658684958</v>
      </c>
      <c r="I28">
        <v>-0.1914322576369332</v>
      </c>
      <c r="J28">
        <v>0</v>
      </c>
      <c r="K28">
        <v>2</v>
      </c>
      <c r="L28" t="str">
        <f t="shared" si="0"/>
        <v>"CREDITCARD_AVG_LY_DRAWING_AMOUNT",</v>
      </c>
    </row>
    <row r="29" spans="1:12" x14ac:dyDescent="0.3">
      <c r="A29" t="s">
        <v>94</v>
      </c>
      <c r="B29">
        <v>0</v>
      </c>
      <c r="C29">
        <v>0.6020739662611021</v>
      </c>
      <c r="D29">
        <v>0.2041479325222042</v>
      </c>
      <c r="E29">
        <v>-23.342392507912141</v>
      </c>
      <c r="F29">
        <v>6.5049179808090004E-117</v>
      </c>
      <c r="G29">
        <v>71740.513530277225</v>
      </c>
      <c r="H29">
        <v>119946.08219169961</v>
      </c>
      <c r="I29">
        <v>-0.32410483338807289</v>
      </c>
      <c r="J29">
        <v>0</v>
      </c>
      <c r="K29">
        <v>2</v>
      </c>
      <c r="L29" t="str">
        <f t="shared" si="0"/>
        <v>"CREDITCARD_LAST_MONTH_AMT_TOTAL_RECEIVABLE",</v>
      </c>
    </row>
    <row r="30" spans="1:12" x14ac:dyDescent="0.3">
      <c r="A30" t="s">
        <v>93</v>
      </c>
      <c r="B30">
        <v>0</v>
      </c>
      <c r="C30">
        <v>0.60207044734512216</v>
      </c>
      <c r="D30">
        <v>0.2041408946902443</v>
      </c>
      <c r="E30">
        <v>-23.338420279525678</v>
      </c>
      <c r="F30">
        <v>7.0983206505321196E-117</v>
      </c>
      <c r="G30">
        <v>71738.210967356179</v>
      </c>
      <c r="H30">
        <v>119932.68725098819</v>
      </c>
      <c r="I30">
        <v>-0.3240402456866957</v>
      </c>
      <c r="J30">
        <v>0</v>
      </c>
      <c r="K30">
        <v>2</v>
      </c>
      <c r="L30" t="str">
        <f t="shared" si="0"/>
        <v>"CREDITCARD_LAST_MONTH_AMT_RECIVABLE",</v>
      </c>
    </row>
    <row r="31" spans="1:12" x14ac:dyDescent="0.3">
      <c r="A31" t="s">
        <v>92</v>
      </c>
      <c r="B31">
        <v>0</v>
      </c>
      <c r="C31">
        <v>0.60159880949446731</v>
      </c>
      <c r="D31">
        <v>0.2031976189889346</v>
      </c>
      <c r="E31">
        <v>-23.192094454393281</v>
      </c>
      <c r="F31">
        <v>1.7508841936947901E-115</v>
      </c>
      <c r="G31">
        <v>69506.810712854684</v>
      </c>
      <c r="H31">
        <v>115892.1044822134</v>
      </c>
      <c r="I31">
        <v>-0.32147248388649519</v>
      </c>
      <c r="J31">
        <v>0</v>
      </c>
      <c r="K31">
        <v>2</v>
      </c>
      <c r="L31" t="str">
        <f t="shared" si="0"/>
        <v>"CREDITCARD_LAST_MONTH_AMT_RECEIVABLE_PRINCIPAL",</v>
      </c>
    </row>
    <row r="32" spans="1:12" x14ac:dyDescent="0.3">
      <c r="A32" t="s">
        <v>61</v>
      </c>
      <c r="B32">
        <v>0</v>
      </c>
      <c r="C32">
        <v>0.59256783580794126</v>
      </c>
      <c r="D32">
        <v>0.18513567161588251</v>
      </c>
      <c r="E32">
        <v>-12.44018926302264</v>
      </c>
      <c r="F32">
        <v>3.0430777177843698E-35</v>
      </c>
      <c r="G32">
        <v>9977.9231779945421</v>
      </c>
      <c r="H32">
        <v>14242.35156956521</v>
      </c>
      <c r="I32">
        <v>-0.14677178108719441</v>
      </c>
      <c r="J32">
        <v>-6.3000821675238882E-3</v>
      </c>
      <c r="K32">
        <v>2</v>
      </c>
      <c r="L32" t="str">
        <f t="shared" si="0"/>
        <v>"CREDITCARD_AVG_LS_DRAWING_AMOUNT",</v>
      </c>
    </row>
    <row r="33" spans="1:12" x14ac:dyDescent="0.3">
      <c r="A33" t="s">
        <v>68</v>
      </c>
      <c r="B33">
        <v>0</v>
      </c>
      <c r="C33">
        <v>0.59143053305159543</v>
      </c>
      <c r="D33">
        <v>0.18286106610319089</v>
      </c>
      <c r="E33">
        <v>-25.465061509497911</v>
      </c>
      <c r="F33">
        <v>6.5676997443181098E-138</v>
      </c>
      <c r="G33">
        <v>8.6456077555952682</v>
      </c>
      <c r="H33">
        <v>16.23221580746597</v>
      </c>
      <c r="I33">
        <v>-0.37520224971381377</v>
      </c>
      <c r="J33">
        <v>0</v>
      </c>
      <c r="K33">
        <v>2</v>
      </c>
      <c r="L33" t="str">
        <f t="shared" si="0"/>
        <v>"CREDITCARD_AVG_LS_ATMAMT_RATE",</v>
      </c>
    </row>
    <row r="34" spans="1:12" x14ac:dyDescent="0.3">
      <c r="A34" t="s">
        <v>62</v>
      </c>
      <c r="B34">
        <v>0</v>
      </c>
      <c r="C34">
        <v>0.58927855507931681</v>
      </c>
      <c r="D34">
        <v>0.1785571101586336</v>
      </c>
      <c r="E34">
        <v>-7.3025306592069814</v>
      </c>
      <c r="F34">
        <v>3.0538723376001428E-13</v>
      </c>
      <c r="G34">
        <v>9060.2077792723685</v>
      </c>
      <c r="H34">
        <v>11252.01959426877</v>
      </c>
      <c r="I34">
        <v>-8.1663440138052185E-2</v>
      </c>
      <c r="J34">
        <v>0</v>
      </c>
      <c r="K34">
        <v>2</v>
      </c>
      <c r="L34" t="str">
        <f t="shared" si="0"/>
        <v>"CREDITCARD_AVG_LS_PAYMENT_AMOUNT",</v>
      </c>
    </row>
    <row r="35" spans="1:12" x14ac:dyDescent="0.3">
      <c r="A35" t="s">
        <v>20</v>
      </c>
      <c r="B35">
        <v>0</v>
      </c>
      <c r="C35">
        <v>0.57441752949397651</v>
      </c>
      <c r="D35">
        <v>0.14883505898795299</v>
      </c>
      <c r="E35">
        <v>-16.202056664281809</v>
      </c>
      <c r="F35">
        <v>3.4021928083576233E-58</v>
      </c>
      <c r="G35">
        <v>11.26309079752818</v>
      </c>
      <c r="H35">
        <v>16.230746468649372</v>
      </c>
      <c r="I35">
        <v>-0.21483831671143841</v>
      </c>
      <c r="J35">
        <v>-0.40102754177308703</v>
      </c>
      <c r="K35">
        <v>2</v>
      </c>
      <c r="L35" t="str">
        <f t="shared" si="0"/>
        <v>"CREDITCARD_AVG_POSAMT_RATE",</v>
      </c>
    </row>
    <row r="36" spans="1:12" x14ac:dyDescent="0.3">
      <c r="A36" t="s">
        <v>44</v>
      </c>
      <c r="B36">
        <v>0</v>
      </c>
      <c r="C36">
        <v>0.57428744920957031</v>
      </c>
      <c r="D36">
        <v>0.14857489841914059</v>
      </c>
      <c r="E36">
        <v>-16.07508371354854</v>
      </c>
      <c r="F36">
        <v>2.4886515649055679E-57</v>
      </c>
      <c r="G36">
        <v>11.39955720780663</v>
      </c>
      <c r="H36">
        <v>16.528098793545809</v>
      </c>
      <c r="I36">
        <v>-0.21055952093373431</v>
      </c>
      <c r="J36">
        <v>0</v>
      </c>
      <c r="K36">
        <v>2</v>
      </c>
      <c r="L36" t="str">
        <f t="shared" si="0"/>
        <v>"CREDITCARD_AVG_LY_POSAMT_RATE",</v>
      </c>
    </row>
    <row r="37" spans="1:12" x14ac:dyDescent="0.3">
      <c r="A37" t="s">
        <v>69</v>
      </c>
      <c r="B37">
        <v>0</v>
      </c>
      <c r="C37">
        <v>0.56925936123211751</v>
      </c>
      <c r="D37">
        <v>0.13851872246423499</v>
      </c>
      <c r="E37">
        <v>-17.779401560437929</v>
      </c>
      <c r="F37">
        <v>1.708671562501006E-69</v>
      </c>
      <c r="G37">
        <v>9.7781861520100666</v>
      </c>
      <c r="H37">
        <v>15.14356655029548</v>
      </c>
      <c r="I37">
        <v>-0.23992352329360531</v>
      </c>
      <c r="J37">
        <v>0</v>
      </c>
      <c r="K37">
        <v>2</v>
      </c>
      <c r="L37" t="str">
        <f t="shared" si="0"/>
        <v>"CREDITCARD_AVG_LS_POSCOUNT_RATE",</v>
      </c>
    </row>
    <row r="38" spans="1:12" x14ac:dyDescent="0.3">
      <c r="A38" t="s">
        <v>67</v>
      </c>
      <c r="B38">
        <v>0</v>
      </c>
      <c r="C38">
        <v>0.56703238316662763</v>
      </c>
      <c r="D38">
        <v>0.13406476633325529</v>
      </c>
      <c r="E38">
        <v>-15.618991903656161</v>
      </c>
      <c r="F38">
        <v>2.8967578587033862E-54</v>
      </c>
      <c r="G38">
        <v>11.394509921422539</v>
      </c>
      <c r="H38">
        <v>16.75318714885816</v>
      </c>
      <c r="I38">
        <v>-0.20632203010933889</v>
      </c>
      <c r="J38">
        <v>0</v>
      </c>
      <c r="K38">
        <v>2</v>
      </c>
      <c r="L38" t="str">
        <f t="shared" si="0"/>
        <v>"CREDITCARD_AVG_LS_POSAMT_RATE",</v>
      </c>
    </row>
    <row r="39" spans="1:12" x14ac:dyDescent="0.3">
      <c r="A39" t="s">
        <v>110</v>
      </c>
      <c r="B39">
        <v>0</v>
      </c>
      <c r="C39">
        <v>0.56617984699495971</v>
      </c>
      <c r="D39">
        <v>0.1323596939899194</v>
      </c>
      <c r="E39">
        <v>-3.6498335610563619</v>
      </c>
      <c r="F39">
        <v>2.6400395515280078E-4</v>
      </c>
      <c r="G39">
        <v>98511.548055108404</v>
      </c>
      <c r="H39">
        <v>179557.86027146841</v>
      </c>
      <c r="I39">
        <v>-5.6205403970583719E-2</v>
      </c>
      <c r="J39">
        <v>-2.038842616871574E-2</v>
      </c>
      <c r="K39">
        <v>2</v>
      </c>
      <c r="L39" t="str">
        <f t="shared" si="0"/>
        <v>"CREDITCARD_LAST_MONTH_DRAWING_TO_PYMNT_RATIO",</v>
      </c>
    </row>
    <row r="40" spans="1:12" x14ac:dyDescent="0.3">
      <c r="A40" t="s">
        <v>109</v>
      </c>
      <c r="B40">
        <v>0</v>
      </c>
      <c r="C40">
        <v>0.56595938270195945</v>
      </c>
      <c r="D40">
        <v>0.13191876540391889</v>
      </c>
      <c r="E40">
        <v>0.65891104733419648</v>
      </c>
      <c r="F40">
        <v>0.50996928190475432</v>
      </c>
      <c r="G40">
        <v>12.013592530375041</v>
      </c>
      <c r="H40">
        <v>11.79704875664334</v>
      </c>
      <c r="I40">
        <v>7.5962491708196044E-3</v>
      </c>
      <c r="J40">
        <v>7.4257384339542444E-3</v>
      </c>
      <c r="K40">
        <v>2</v>
      </c>
      <c r="L40" t="str">
        <f t="shared" si="0"/>
        <v>"CREDITCARD_LAST_MONTH_PAYMENT_RATIO",</v>
      </c>
    </row>
    <row r="41" spans="1:12" x14ac:dyDescent="0.3">
      <c r="A41" t="s">
        <v>71</v>
      </c>
      <c r="B41">
        <v>0</v>
      </c>
      <c r="C41">
        <v>0.54646841476778019</v>
      </c>
      <c r="D41">
        <v>9.2936829535560372E-2</v>
      </c>
      <c r="E41">
        <v>-21.755319844692458</v>
      </c>
      <c r="F41">
        <v>1.7784927389575461E-102</v>
      </c>
      <c r="G41">
        <v>0.65769222742564259</v>
      </c>
      <c r="H41">
        <v>0.76460254721124299</v>
      </c>
      <c r="I41">
        <v>-0.23250138846756641</v>
      </c>
      <c r="J41">
        <v>0.19362793322471819</v>
      </c>
      <c r="K41">
        <v>2</v>
      </c>
      <c r="L41" t="str">
        <f t="shared" si="0"/>
        <v>"CREDITCARD_AVG_LS_REPAYMENTCOUNT_RATE",</v>
      </c>
    </row>
    <row r="42" spans="1:12" x14ac:dyDescent="0.3">
      <c r="A42" t="s">
        <v>95</v>
      </c>
      <c r="B42">
        <v>0</v>
      </c>
      <c r="C42">
        <v>0.5459051077535626</v>
      </c>
      <c r="D42">
        <v>9.1810215507125204E-2</v>
      </c>
      <c r="E42">
        <v>-13.96762460891869</v>
      </c>
      <c r="F42">
        <v>7.8717452637636482E-44</v>
      </c>
      <c r="G42">
        <v>0.20274974330720491</v>
      </c>
      <c r="H42">
        <v>0.44729907773386041</v>
      </c>
      <c r="I42">
        <v>-0.25119276259273438</v>
      </c>
      <c r="J42">
        <v>3.7266136862740037E-2</v>
      </c>
      <c r="K42">
        <v>2</v>
      </c>
      <c r="L42" t="str">
        <f t="shared" si="0"/>
        <v>"CREDITCARD_LAST_MONTH_CNT_DRAWINGS_ATM_CURRENT",</v>
      </c>
    </row>
    <row r="43" spans="1:12" x14ac:dyDescent="0.3">
      <c r="A43" t="s">
        <v>113</v>
      </c>
      <c r="B43">
        <v>0</v>
      </c>
      <c r="C43">
        <v>0.54534301825457876</v>
      </c>
      <c r="D43">
        <v>9.0686036509157519E-2</v>
      </c>
      <c r="E43">
        <v>-19.103191014265089</v>
      </c>
      <c r="F43">
        <v>1.1363139702095801E-79</v>
      </c>
      <c r="G43">
        <v>7.9862990364086937</v>
      </c>
      <c r="H43">
        <v>15.790451527594129</v>
      </c>
      <c r="I43">
        <v>-0.29140888811508681</v>
      </c>
      <c r="J43">
        <v>0.11057014239622689</v>
      </c>
      <c r="K43">
        <v>2</v>
      </c>
      <c r="L43" t="str">
        <f t="shared" si="0"/>
        <v>"CREDITCARD_LAST_MONTH_ATM_DRAWING_AMT_RATIO",</v>
      </c>
    </row>
    <row r="44" spans="1:12" x14ac:dyDescent="0.3">
      <c r="A44" t="s">
        <v>112</v>
      </c>
      <c r="B44">
        <v>0</v>
      </c>
      <c r="C44">
        <v>0.53883315484691985</v>
      </c>
      <c r="D44">
        <v>7.7666309693839697E-2</v>
      </c>
      <c r="E44">
        <v>-13.506236778077669</v>
      </c>
      <c r="F44">
        <v>3.738361062246186E-41</v>
      </c>
      <c r="G44">
        <v>11.382021540686249</v>
      </c>
      <c r="H44">
        <v>17.149083977223199</v>
      </c>
      <c r="I44">
        <v>-0.18473485953583069</v>
      </c>
      <c r="J44">
        <v>4.1284254088888958E-2</v>
      </c>
      <c r="K44">
        <v>2</v>
      </c>
      <c r="L44" t="str">
        <f t="shared" si="0"/>
        <v>"CREDITCARD_LAST_MONTH_POS_DRAWING_AMT_RATIO",</v>
      </c>
    </row>
    <row r="45" spans="1:12" x14ac:dyDescent="0.3">
      <c r="A45" t="s">
        <v>52</v>
      </c>
      <c r="B45">
        <v>0</v>
      </c>
      <c r="C45">
        <v>0.52312977781930736</v>
      </c>
      <c r="D45">
        <v>4.6259555638614717E-2</v>
      </c>
      <c r="E45">
        <v>-5.6134294074209006</v>
      </c>
      <c r="F45">
        <v>2.0456085026048498E-8</v>
      </c>
      <c r="G45">
        <v>5418.9201205242134</v>
      </c>
      <c r="H45">
        <v>7608.1916442392567</v>
      </c>
      <c r="I45">
        <v>-8.0823117226063307E-2</v>
      </c>
      <c r="J45">
        <v>1.5002778319536331E-3</v>
      </c>
      <c r="K45">
        <v>2</v>
      </c>
      <c r="L45" t="str">
        <f t="shared" si="0"/>
        <v>"CREDITCARD_AVG_LY_AMT_BALANCE_YOY_PCT_CHANGE",</v>
      </c>
    </row>
    <row r="46" spans="1:12" x14ac:dyDescent="0.3">
      <c r="A46" t="s">
        <v>48</v>
      </c>
      <c r="B46">
        <v>0</v>
      </c>
      <c r="C46">
        <v>0.5213891212011339</v>
      </c>
      <c r="D46">
        <v>4.2778242402267803E-2</v>
      </c>
      <c r="E46">
        <v>-17.971344185847101</v>
      </c>
      <c r="F46">
        <v>4.6748080002252123E-71</v>
      </c>
      <c r="G46">
        <v>0.62615757130545147</v>
      </c>
      <c r="H46">
        <v>0.71121551958508478</v>
      </c>
      <c r="I46">
        <v>-0.19073560760072999</v>
      </c>
      <c r="J46">
        <v>4.2267921288345917E-2</v>
      </c>
      <c r="K46">
        <v>2</v>
      </c>
      <c r="L46" t="str">
        <f t="shared" si="0"/>
        <v>"CREDITCARD_AVG_LY_REPAYMENTCOUNT_RATE",</v>
      </c>
    </row>
    <row r="47" spans="1:12" x14ac:dyDescent="0.3">
      <c r="A47" t="s">
        <v>75</v>
      </c>
      <c r="B47">
        <v>0</v>
      </c>
      <c r="C47">
        <v>0.52089755767434009</v>
      </c>
      <c r="D47">
        <v>4.179511534868019E-2</v>
      </c>
      <c r="E47">
        <v>-5.383964302738133</v>
      </c>
      <c r="F47">
        <v>7.4820504599318684E-8</v>
      </c>
      <c r="G47">
        <v>6345.8635914681727</v>
      </c>
      <c r="H47">
        <v>9407.4910423468573</v>
      </c>
      <c r="I47">
        <v>-8.0945530016366174E-2</v>
      </c>
      <c r="J47">
        <v>1.1148258447983801E-2</v>
      </c>
      <c r="K47">
        <v>2</v>
      </c>
      <c r="L47" t="str">
        <f t="shared" si="0"/>
        <v>"CREDITCARD_AVG_LS_AMT_BALANCE_YOY_PCT_CHANGE",</v>
      </c>
    </row>
    <row r="48" spans="1:12" x14ac:dyDescent="0.3">
      <c r="A48" t="s">
        <v>101</v>
      </c>
      <c r="B48">
        <v>0</v>
      </c>
      <c r="C48">
        <v>0.52063329005380121</v>
      </c>
      <c r="D48">
        <v>4.1266580107602417E-2</v>
      </c>
      <c r="E48">
        <v>-4.7660460264256361</v>
      </c>
      <c r="F48">
        <v>1.910201942069779E-6</v>
      </c>
      <c r="G48">
        <v>6997.9089268936887</v>
      </c>
      <c r="H48">
        <v>10775.7177178403</v>
      </c>
      <c r="I48">
        <v>-7.2061524273249355E-2</v>
      </c>
      <c r="J48">
        <v>4.2796924908332446E-3</v>
      </c>
      <c r="K48">
        <v>2</v>
      </c>
      <c r="L48" t="str">
        <f t="shared" si="0"/>
        <v>"CREDITCARD_LAST_MONTH_AMT_BALANCE_YOY_PCT_CHANGE",</v>
      </c>
    </row>
    <row r="49" spans="1:12" x14ac:dyDescent="0.3">
      <c r="A49" t="s">
        <v>50</v>
      </c>
      <c r="B49">
        <v>0</v>
      </c>
      <c r="C49">
        <v>0.51306567069301268</v>
      </c>
      <c r="D49">
        <v>2.6131341386025349E-2</v>
      </c>
      <c r="E49">
        <v>-9.3862533508808568</v>
      </c>
      <c r="F49">
        <v>7.8527808739161453E-21</v>
      </c>
      <c r="G49">
        <v>3.3157196163381843E-2</v>
      </c>
      <c r="H49">
        <v>5.9288537549407112E-2</v>
      </c>
      <c r="I49">
        <v>-0.14147416552336889</v>
      </c>
      <c r="J49">
        <v>1.8921910302346519E-2</v>
      </c>
      <c r="K49">
        <v>2</v>
      </c>
      <c r="L49" t="str">
        <f t="shared" si="0"/>
        <v>"CREDITCARD_MAX_LY_DPDUTP",</v>
      </c>
    </row>
    <row r="50" spans="1:12" x14ac:dyDescent="0.3">
      <c r="A50" t="s">
        <v>51</v>
      </c>
      <c r="B50">
        <v>0</v>
      </c>
      <c r="C50">
        <v>0.51273229341034898</v>
      </c>
      <c r="D50">
        <v>2.5464586820697969E-2</v>
      </c>
      <c r="E50">
        <v>-2.7179174954037908</v>
      </c>
      <c r="F50">
        <v>6.5817353596004657E-3</v>
      </c>
      <c r="G50">
        <v>1.2421679471402739E-2</v>
      </c>
      <c r="H50">
        <v>1.5372290569919031E-2</v>
      </c>
      <c r="I50">
        <v>-3.1818456042586089E-2</v>
      </c>
      <c r="J50">
        <v>2.7643225325918189E-2</v>
      </c>
      <c r="K50">
        <v>2</v>
      </c>
      <c r="L50" t="str">
        <f t="shared" si="0"/>
        <v>"CREDITCARD_LY_DAYS_IN_DPD_RATIO",</v>
      </c>
    </row>
    <row r="51" spans="1:12" x14ac:dyDescent="0.3">
      <c r="A51" t="s">
        <v>73</v>
      </c>
      <c r="B51">
        <v>0</v>
      </c>
      <c r="C51">
        <v>0.51136907971257006</v>
      </c>
      <c r="D51">
        <v>2.2738159425140129E-2</v>
      </c>
      <c r="E51">
        <v>-9.3960572015221739</v>
      </c>
      <c r="F51">
        <v>7.1844256719890016E-21</v>
      </c>
      <c r="G51">
        <v>2.1662367584082541E-2</v>
      </c>
      <c r="H51">
        <v>4.4400527009222659E-2</v>
      </c>
      <c r="I51">
        <v>-0.149811443735305</v>
      </c>
      <c r="J51">
        <v>4.4543443079717783E-2</v>
      </c>
      <c r="K51">
        <v>2</v>
      </c>
      <c r="L51" t="str">
        <f t="shared" si="0"/>
        <v>"CREDITCARD_MAX_LS_DPDUTP",</v>
      </c>
    </row>
    <row r="52" spans="1:12" x14ac:dyDescent="0.3">
      <c r="A52" t="s">
        <v>54</v>
      </c>
      <c r="B52">
        <v>0</v>
      </c>
      <c r="C52">
        <v>0.51099841313881733</v>
      </c>
      <c r="D52">
        <v>2.1996826277634659E-2</v>
      </c>
      <c r="E52">
        <v>-3.8966533072013978</v>
      </c>
      <c r="F52">
        <v>9.8266091321672593E-5</v>
      </c>
      <c r="G52">
        <v>1653.1596473329989</v>
      </c>
      <c r="H52">
        <v>2031.228067918232</v>
      </c>
      <c r="I52">
        <v>-5.3639115773907543E-2</v>
      </c>
      <c r="J52">
        <v>6.6010689024888644E-2</v>
      </c>
      <c r="K52">
        <v>2</v>
      </c>
      <c r="L52" t="str">
        <f t="shared" si="0"/>
        <v>"CREDITCARD_AVG_LY_AMT_DRAWINGS_CURRENT_YOY_PCT_CHANGE",</v>
      </c>
    </row>
    <row r="53" spans="1:12" x14ac:dyDescent="0.3">
      <c r="A53" t="s">
        <v>74</v>
      </c>
      <c r="B53">
        <v>0</v>
      </c>
      <c r="C53">
        <v>0.51094366784679857</v>
      </c>
      <c r="D53">
        <v>2.1887335693597128E-2</v>
      </c>
      <c r="E53">
        <v>-3.5281348660010181</v>
      </c>
      <c r="F53">
        <v>4.2057142627408781E-4</v>
      </c>
      <c r="G53">
        <v>1.2097743607723321E-2</v>
      </c>
      <c r="H53">
        <v>1.6181379007465961E-2</v>
      </c>
      <c r="I53">
        <v>-4.2711720375713212E-2</v>
      </c>
      <c r="J53">
        <v>8.3482460295694165E-3</v>
      </c>
      <c r="K53">
        <v>2</v>
      </c>
      <c r="L53" t="str">
        <f t="shared" si="0"/>
        <v>"CREDITCARD_LS_DAYS_IN_DPD_RATIO",</v>
      </c>
    </row>
    <row r="54" spans="1:12" x14ac:dyDescent="0.3">
      <c r="A54" t="s">
        <v>29</v>
      </c>
      <c r="B54">
        <v>0</v>
      </c>
      <c r="C54">
        <v>0.51019672555052065</v>
      </c>
      <c r="D54">
        <v>2.039345110104129E-2</v>
      </c>
      <c r="E54">
        <v>-5.691375921023119</v>
      </c>
      <c r="F54">
        <v>1.3018667359423991E-8</v>
      </c>
      <c r="G54">
        <v>4053.3680040128138</v>
      </c>
      <c r="H54">
        <v>5342.3466725348562</v>
      </c>
      <c r="I54">
        <v>-8.2248755008840407E-2</v>
      </c>
      <c r="J54">
        <v>2.6153237692487931E-2</v>
      </c>
      <c r="K54">
        <v>2</v>
      </c>
      <c r="L54" t="str">
        <f t="shared" si="0"/>
        <v>"CREDITCARD_AVG_AMT_BALANCE_YOY_PCT_CHANGE",</v>
      </c>
    </row>
    <row r="55" spans="1:12" x14ac:dyDescent="0.3">
      <c r="A55" t="s">
        <v>72</v>
      </c>
      <c r="B55">
        <v>0</v>
      </c>
      <c r="C55">
        <v>0.50951470502690921</v>
      </c>
      <c r="D55">
        <v>1.9029410053818419E-2</v>
      </c>
      <c r="E55">
        <v>-8.549293952469796</v>
      </c>
      <c r="F55">
        <v>1.458922452192161E-17</v>
      </c>
      <c r="G55">
        <v>1.8256492449475342E-2</v>
      </c>
      <c r="H55">
        <v>3.7285902503293812E-2</v>
      </c>
      <c r="I55">
        <v>-0.13633020424351081</v>
      </c>
      <c r="J55">
        <v>2.9736987973999748E-2</v>
      </c>
      <c r="K55">
        <v>2</v>
      </c>
      <c r="L55" t="str">
        <f t="shared" si="0"/>
        <v>"CREDITCARD_MAX_LS_DPD",</v>
      </c>
    </row>
    <row r="56" spans="1:12" x14ac:dyDescent="0.3">
      <c r="A56" t="s">
        <v>103</v>
      </c>
      <c r="B56">
        <v>0</v>
      </c>
      <c r="C56">
        <v>0.50459852864108912</v>
      </c>
      <c r="D56">
        <v>9.1970572821782337E-3</v>
      </c>
      <c r="E56">
        <v>-3.0536331073038858</v>
      </c>
      <c r="F56">
        <v>2.2677160798253112E-3</v>
      </c>
      <c r="G56">
        <v>2054.33768383711</v>
      </c>
      <c r="H56">
        <v>2852.160989759499</v>
      </c>
      <c r="I56">
        <v>-4.1366055584309433E-2</v>
      </c>
      <c r="J56">
        <v>6.4881163528035654E-3</v>
      </c>
      <c r="K56">
        <v>2</v>
      </c>
      <c r="L56" t="str">
        <f t="shared" si="0"/>
        <v>"CREDITCARD_LAST_MONTH_AMT_DRAWINGS_CURRENT_YOY_PCT_CHANGE",</v>
      </c>
    </row>
    <row r="57" spans="1:12" x14ac:dyDescent="0.3">
      <c r="A57" t="s">
        <v>117</v>
      </c>
      <c r="B57">
        <v>0</v>
      </c>
      <c r="C57">
        <v>0.50282412391942644</v>
      </c>
      <c r="D57">
        <v>5.6482478388528712E-3</v>
      </c>
      <c r="E57">
        <v>-3.5413128943460479</v>
      </c>
      <c r="F57">
        <v>4.00242183694539E-4</v>
      </c>
      <c r="G57">
        <v>1.279707495429616E-2</v>
      </c>
      <c r="H57">
        <v>1.844532279314888E-2</v>
      </c>
      <c r="I57">
        <v>-4.9332952647541228E-2</v>
      </c>
      <c r="J57">
        <v>1.2020297920277451E-2</v>
      </c>
      <c r="K57">
        <v>2</v>
      </c>
      <c r="L57" t="str">
        <f t="shared" si="0"/>
        <v>"CREDITCARD_LAST_MONTH_DPD_GE_1",</v>
      </c>
    </row>
    <row r="58" spans="1:12" x14ac:dyDescent="0.3">
      <c r="A58" t="s">
        <v>16</v>
      </c>
      <c r="B58">
        <v>0</v>
      </c>
      <c r="C58">
        <v>0.62638736685736773</v>
      </c>
      <c r="D58">
        <v>0.25277473371473552</v>
      </c>
      <c r="E58">
        <v>-9.9581957532210039E-2</v>
      </c>
      <c r="F58">
        <v>0.92067803674980075</v>
      </c>
      <c r="G58">
        <v>1480.136275841779</v>
      </c>
      <c r="H58">
        <v>1617.300028465088</v>
      </c>
      <c r="I58">
        <v>-8.7473132010214662E-4</v>
      </c>
      <c r="J58">
        <v>0</v>
      </c>
      <c r="K58">
        <v>1</v>
      </c>
      <c r="L58" t="str">
        <f t="shared" si="0"/>
        <v>"CREDITCARD_MAX_UTILIZATION_RATE",</v>
      </c>
    </row>
    <row r="59" spans="1:12" x14ac:dyDescent="0.3">
      <c r="A59" t="s">
        <v>40</v>
      </c>
      <c r="B59">
        <v>0</v>
      </c>
      <c r="C59">
        <v>0.62222675105993941</v>
      </c>
      <c r="D59">
        <v>0.24445350211987879</v>
      </c>
      <c r="E59">
        <v>-5.8160914578426072E-2</v>
      </c>
      <c r="F59">
        <v>0.95362150905316811</v>
      </c>
      <c r="G59">
        <v>1572.5105284053379</v>
      </c>
      <c r="H59">
        <v>1652.720614904385</v>
      </c>
      <c r="I59">
        <v>-5.0908424431078843E-4</v>
      </c>
      <c r="J59">
        <v>-1.4288295762762179E-2</v>
      </c>
      <c r="K59">
        <v>1</v>
      </c>
      <c r="L59" t="str">
        <f t="shared" si="0"/>
        <v>"CREDITCARD_MAX_LY_UTILIZATION_RATE",</v>
      </c>
    </row>
    <row r="60" spans="1:12" x14ac:dyDescent="0.3">
      <c r="A60" t="s">
        <v>63</v>
      </c>
      <c r="B60">
        <v>0</v>
      </c>
      <c r="C60">
        <v>0.62002151834444053</v>
      </c>
      <c r="D60">
        <v>0.24004303668888111</v>
      </c>
      <c r="E60">
        <v>-0.3024630650156539</v>
      </c>
      <c r="F60">
        <v>0.76230506569513035</v>
      </c>
      <c r="G60">
        <v>1238.3271614294399</v>
      </c>
      <c r="H60">
        <v>1653.025757155222</v>
      </c>
      <c r="I60">
        <v>-2.8037087172929501E-3</v>
      </c>
      <c r="J60">
        <v>0</v>
      </c>
      <c r="K60">
        <v>1</v>
      </c>
      <c r="L60" t="str">
        <f t="shared" si="0"/>
        <v>"CREDITCARD_MAX_LS_UTILIZATION_RATE",</v>
      </c>
    </row>
    <row r="61" spans="1:12" x14ac:dyDescent="0.3">
      <c r="A61" t="s">
        <v>64</v>
      </c>
      <c r="B61">
        <v>0</v>
      </c>
      <c r="C61">
        <v>0.56633442193713024</v>
      </c>
      <c r="D61">
        <v>0.13266884387426051</v>
      </c>
      <c r="E61">
        <v>-1.1771477951477769</v>
      </c>
      <c r="F61">
        <v>0.23916678045724121</v>
      </c>
      <c r="G61">
        <v>13.15574816236226</v>
      </c>
      <c r="H61">
        <v>13.51057309558893</v>
      </c>
      <c r="I61">
        <v>-1.3561884284471991E-2</v>
      </c>
      <c r="J61">
        <v>-3.6413191781865147E-2</v>
      </c>
      <c r="K61">
        <v>1</v>
      </c>
      <c r="L61" t="str">
        <f t="shared" si="0"/>
        <v>"CREDITCARD_AVG_LS_PAYMENT_RATE",</v>
      </c>
    </row>
    <row r="62" spans="1:12" x14ac:dyDescent="0.3">
      <c r="A62" t="s">
        <v>41</v>
      </c>
      <c r="B62">
        <v>0</v>
      </c>
      <c r="C62">
        <v>0.56467070386799323</v>
      </c>
      <c r="D62">
        <v>0.12934140773598651</v>
      </c>
      <c r="E62">
        <v>-1.868065277580939</v>
      </c>
      <c r="F62">
        <v>6.1784473850709003E-2</v>
      </c>
      <c r="G62">
        <v>13.347763435956979</v>
      </c>
      <c r="H62">
        <v>13.877781436352199</v>
      </c>
      <c r="I62">
        <v>-2.1431048925579791E-2</v>
      </c>
      <c r="J62">
        <v>-4.1918974851812313E-2</v>
      </c>
      <c r="K62">
        <v>1</v>
      </c>
      <c r="L62" t="str">
        <f t="shared" si="0"/>
        <v>"CREDITCARD_AVG_LY_PAYMENT_RATE",</v>
      </c>
    </row>
    <row r="63" spans="1:12" x14ac:dyDescent="0.3">
      <c r="A63" t="s">
        <v>90</v>
      </c>
      <c r="B63">
        <v>29.907835155285181</v>
      </c>
      <c r="C63">
        <v>0.55050177049113969</v>
      </c>
      <c r="D63">
        <v>0.1010035409822794</v>
      </c>
      <c r="E63">
        <v>-0.68340466872214389</v>
      </c>
      <c r="F63">
        <v>0.49437190389851349</v>
      </c>
      <c r="G63">
        <v>12680.82458206439</v>
      </c>
      <c r="H63">
        <v>13076.155756562859</v>
      </c>
      <c r="I63">
        <v>-9.0186383888158968E-3</v>
      </c>
      <c r="J63">
        <v>0</v>
      </c>
      <c r="K63">
        <v>1</v>
      </c>
      <c r="L63" t="str">
        <f t="shared" si="0"/>
        <v>"CREDITCARD_LAST_MONTH_AMT_PAYMENT_CURRENT",</v>
      </c>
    </row>
    <row r="64" spans="1:12" x14ac:dyDescent="0.3">
      <c r="A64" t="s">
        <v>115</v>
      </c>
      <c r="B64">
        <v>0</v>
      </c>
      <c r="C64">
        <v>0.54577012523810431</v>
      </c>
      <c r="D64">
        <v>9.1540250476208618E-2</v>
      </c>
      <c r="E64">
        <v>-17.781960817136831</v>
      </c>
      <c r="F64">
        <v>1.8116660455673721E-69</v>
      </c>
      <c r="G64">
        <v>4.4782440570045683</v>
      </c>
      <c r="H64">
        <v>8.7851865808664584</v>
      </c>
      <c r="I64">
        <v>-0.27315858773647428</v>
      </c>
      <c r="J64">
        <v>-0.10278773454065369</v>
      </c>
      <c r="K64">
        <v>1</v>
      </c>
      <c r="L64" t="str">
        <f t="shared" si="0"/>
        <v>"CREDITCARD_LAST_MONTH_ATM_DRAWING_CNT_RATIO",</v>
      </c>
    </row>
    <row r="65" spans="1:12" x14ac:dyDescent="0.3">
      <c r="A65" t="s">
        <v>87</v>
      </c>
      <c r="B65">
        <v>0</v>
      </c>
      <c r="C65">
        <v>0.54495355773293919</v>
      </c>
      <c r="D65">
        <v>8.9907115465878373E-2</v>
      </c>
      <c r="E65">
        <v>-8.9438619393081566</v>
      </c>
      <c r="F65">
        <v>4.5666398205683678E-19</v>
      </c>
      <c r="G65">
        <v>3894.2851102526861</v>
      </c>
      <c r="H65">
        <v>7322.875494071146</v>
      </c>
      <c r="I65">
        <v>-0.14005396139433149</v>
      </c>
      <c r="J65">
        <v>0</v>
      </c>
      <c r="K65">
        <v>1</v>
      </c>
      <c r="L65" t="str">
        <f t="shared" si="0"/>
        <v>"CREDITCARD_LAST_MONTH_AMT_DRAWINGS_ATM_CURRENT",</v>
      </c>
    </row>
    <row r="66" spans="1:12" x14ac:dyDescent="0.3">
      <c r="A66" t="s">
        <v>97</v>
      </c>
      <c r="B66">
        <v>0</v>
      </c>
      <c r="C66">
        <v>0.54151050054096939</v>
      </c>
      <c r="D66">
        <v>8.3021001081938772E-2</v>
      </c>
      <c r="E66">
        <v>-8.96056269232235</v>
      </c>
      <c r="F66">
        <v>3.913534473497032E-19</v>
      </c>
      <c r="G66">
        <v>1.018081190052841</v>
      </c>
      <c r="H66">
        <v>1.608432147562582</v>
      </c>
      <c r="I66">
        <v>-0.12838670748666181</v>
      </c>
      <c r="J66">
        <v>0</v>
      </c>
      <c r="K66">
        <v>1</v>
      </c>
      <c r="L66" t="str">
        <f t="shared" si="0"/>
        <v>"CREDITCARD_LAST_MONTH_CNT_DRAWINGS_POS_CURRENT",</v>
      </c>
    </row>
    <row r="67" spans="1:12" x14ac:dyDescent="0.3">
      <c r="A67" t="s">
        <v>114</v>
      </c>
      <c r="B67">
        <v>0</v>
      </c>
      <c r="C67">
        <v>0.54090621622034507</v>
      </c>
      <c r="D67">
        <v>8.1812432440690142E-2</v>
      </c>
      <c r="E67">
        <v>-15.33069335436007</v>
      </c>
      <c r="F67">
        <v>2.3214302156671841E-52</v>
      </c>
      <c r="G67">
        <v>9.6292712468157244</v>
      </c>
      <c r="H67">
        <v>15.08768533740394</v>
      </c>
      <c r="I67">
        <v>-0.21207796523357389</v>
      </c>
      <c r="J67">
        <v>-7.0201848760909659E-3</v>
      </c>
      <c r="K67">
        <v>1</v>
      </c>
      <c r="L67" t="str">
        <f t="shared" ref="L67:L111" si="1">_xlfn.CONCAT("""",A67,"""",",")</f>
        <v>"CREDITCARD_LAST_MONTH_POS_DRAWING_CNT_RATIO",</v>
      </c>
    </row>
    <row r="68" spans="1:12" x14ac:dyDescent="0.3">
      <c r="A68" t="s">
        <v>17</v>
      </c>
      <c r="B68">
        <v>0</v>
      </c>
      <c r="C68">
        <v>0.53527437679140133</v>
      </c>
      <c r="D68">
        <v>7.0548753582802659E-2</v>
      </c>
      <c r="E68">
        <v>-0.30278319359869749</v>
      </c>
      <c r="F68">
        <v>0.76206301052013292</v>
      </c>
      <c r="G68">
        <v>46.572386761826813</v>
      </c>
      <c r="H68">
        <v>57.231475510108567</v>
      </c>
      <c r="I68">
        <v>-6.2648273139784133E-3</v>
      </c>
      <c r="J68">
        <v>8.9458882214814642E-3</v>
      </c>
      <c r="K68">
        <v>1</v>
      </c>
      <c r="L68" t="str">
        <f t="shared" si="1"/>
        <v>"CREDITCARD_AVG_PAYMENT_RATE",</v>
      </c>
    </row>
    <row r="69" spans="1:12" x14ac:dyDescent="0.3">
      <c r="A69" t="s">
        <v>30</v>
      </c>
      <c r="B69">
        <v>0</v>
      </c>
      <c r="C69">
        <v>0.53326922983648772</v>
      </c>
      <c r="D69">
        <v>6.6538459672975447E-2</v>
      </c>
      <c r="E69">
        <v>6.4624661662105315E-2</v>
      </c>
      <c r="F69">
        <v>0.94847432391784359</v>
      </c>
      <c r="G69">
        <v>45.577164399653498</v>
      </c>
      <c r="H69">
        <v>44.682956916194698</v>
      </c>
      <c r="I69">
        <v>8.5875602263256099E-4</v>
      </c>
      <c r="J69">
        <v>1.170097168878593E-2</v>
      </c>
      <c r="K69">
        <v>1</v>
      </c>
      <c r="L69" t="str">
        <f t="shared" si="1"/>
        <v>"CREDITCARD_AVG_AMT_CREDIT_LIMIT_ACTUAL_YOY_PCT_CHANGE",</v>
      </c>
    </row>
    <row r="70" spans="1:12" x14ac:dyDescent="0.3">
      <c r="A70" t="s">
        <v>107</v>
      </c>
      <c r="B70">
        <v>0</v>
      </c>
      <c r="C70">
        <v>0.52607709266864788</v>
      </c>
      <c r="D70">
        <v>5.2154185337295773E-2</v>
      </c>
      <c r="E70">
        <v>-9.8278857287590604</v>
      </c>
      <c r="F70">
        <v>1.114966294829631E-22</v>
      </c>
      <c r="G70">
        <v>2.4349002028499158</v>
      </c>
      <c r="H70">
        <v>3.0083003952569172</v>
      </c>
      <c r="I70">
        <v>-0.12620703288300131</v>
      </c>
      <c r="J70">
        <v>0</v>
      </c>
      <c r="K70">
        <v>1</v>
      </c>
      <c r="L70" t="str">
        <f t="shared" si="1"/>
        <v>"CREDITCARD_LAST_MONTH_CNT_INSTALMENT_MATURE_CUM_YOY_ABS_CHANGE",</v>
      </c>
    </row>
    <row r="71" spans="1:12" x14ac:dyDescent="0.3">
      <c r="A71" t="s">
        <v>53</v>
      </c>
      <c r="B71">
        <v>0</v>
      </c>
      <c r="C71">
        <v>0.52598242920949057</v>
      </c>
      <c r="D71">
        <v>5.196485841898113E-2</v>
      </c>
      <c r="E71">
        <v>-0.22507121720415149</v>
      </c>
      <c r="F71">
        <v>0.82192865760316813</v>
      </c>
      <c r="G71">
        <v>23.1528376736076</v>
      </c>
      <c r="H71">
        <v>26.402503008544869</v>
      </c>
      <c r="I71">
        <v>-2.4056162756527521E-3</v>
      </c>
      <c r="J71">
        <v>2.339259013595137E-3</v>
      </c>
      <c r="K71">
        <v>1</v>
      </c>
      <c r="L71" t="str">
        <f t="shared" si="1"/>
        <v>"CREDITCARD_AVG_LY_AMT_CREDIT_LIMIT_ACTUAL_YOY_PCT_CHANGE",</v>
      </c>
    </row>
    <row r="72" spans="1:12" x14ac:dyDescent="0.3">
      <c r="A72" t="s">
        <v>80</v>
      </c>
      <c r="B72">
        <v>0</v>
      </c>
      <c r="C72">
        <v>0.523573041625922</v>
      </c>
      <c r="D72">
        <v>4.7146083251844002E-2</v>
      </c>
      <c r="E72">
        <v>-7.2074472584810598</v>
      </c>
      <c r="F72">
        <v>6.1638233347093378E-13</v>
      </c>
      <c r="G72">
        <v>2.2128688654595838</v>
      </c>
      <c r="H72">
        <v>2.5937329819938522</v>
      </c>
      <c r="I72">
        <v>-9.0340257975939933E-2</v>
      </c>
      <c r="J72">
        <v>0</v>
      </c>
      <c r="K72">
        <v>1</v>
      </c>
      <c r="L72" t="str">
        <f t="shared" si="1"/>
        <v>"CREDITCARD_AVG_LS_CNT_INSTALMENT_MATURE_CUM_YOY_ABS_CHANGE",</v>
      </c>
    </row>
    <row r="73" spans="1:12" x14ac:dyDescent="0.3">
      <c r="A73" t="s">
        <v>78</v>
      </c>
      <c r="B73">
        <v>0</v>
      </c>
      <c r="C73">
        <v>0.52288449386786418</v>
      </c>
      <c r="D73">
        <v>4.576898773572835E-2</v>
      </c>
      <c r="E73">
        <v>-2.4010164841704511</v>
      </c>
      <c r="F73">
        <v>1.6370348078788819E-2</v>
      </c>
      <c r="G73">
        <v>1033.693637854587</v>
      </c>
      <c r="H73">
        <v>1298.320264740775</v>
      </c>
      <c r="I73">
        <v>-3.2007359831707688E-2</v>
      </c>
      <c r="J73">
        <v>5.3136545197875898E-3</v>
      </c>
      <c r="K73">
        <v>1</v>
      </c>
      <c r="L73" t="str">
        <f t="shared" si="1"/>
        <v>"CREDITCARD_AVG_LS_AMT_PAYMENT_TOTAL_CURRENT_YOY_PCT_CHANGE",</v>
      </c>
    </row>
    <row r="74" spans="1:12" x14ac:dyDescent="0.3">
      <c r="A74" t="s">
        <v>84</v>
      </c>
      <c r="B74">
        <v>0</v>
      </c>
      <c r="C74">
        <v>0.52064315390689264</v>
      </c>
      <c r="D74">
        <v>4.1286307813785277E-2</v>
      </c>
      <c r="E74">
        <v>-7.8845469910252568</v>
      </c>
      <c r="F74">
        <v>3.5109302509507182E-15</v>
      </c>
      <c r="G74">
        <v>-1.5030051839423</v>
      </c>
      <c r="H74">
        <v>-1.441238471673254</v>
      </c>
      <c r="I74">
        <v>-8.9233311892005923E-2</v>
      </c>
      <c r="J74">
        <v>-3.4977902256979429E-2</v>
      </c>
      <c r="K74">
        <v>1</v>
      </c>
      <c r="L74" t="str">
        <f t="shared" si="1"/>
        <v>"CREDITCARD_LAST_MONTH_MONTHS_BALANCE",</v>
      </c>
    </row>
    <row r="75" spans="1:12" x14ac:dyDescent="0.3">
      <c r="A75" t="s">
        <v>57</v>
      </c>
      <c r="B75">
        <v>0</v>
      </c>
      <c r="C75">
        <v>0.52008848168228539</v>
      </c>
      <c r="D75">
        <v>4.0176963364570772E-2</v>
      </c>
      <c r="E75">
        <v>-4.6984662558540853</v>
      </c>
      <c r="F75">
        <v>2.6600220967345352E-6</v>
      </c>
      <c r="G75">
        <v>1.985625089643271</v>
      </c>
      <c r="H75">
        <v>2.2077252099386491</v>
      </c>
      <c r="I75">
        <v>-5.760872287617852E-2</v>
      </c>
      <c r="J75">
        <v>-1.7631911559893462E-2</v>
      </c>
      <c r="K75">
        <v>1</v>
      </c>
      <c r="L75" t="str">
        <f t="shared" si="1"/>
        <v>"CREDITCARD_AVG_LY_CNT_INSTALMENT_MATURE_CUM_YOY_ABS_CHANGE",</v>
      </c>
    </row>
    <row r="76" spans="1:12" x14ac:dyDescent="0.3">
      <c r="A76" t="s">
        <v>98</v>
      </c>
      <c r="B76">
        <v>0</v>
      </c>
      <c r="C76">
        <v>0.51920717387691395</v>
      </c>
      <c r="D76">
        <v>3.8414347753827897E-2</v>
      </c>
      <c r="E76">
        <v>5.7878451374944442</v>
      </c>
      <c r="F76">
        <v>7.3541268845767443E-9</v>
      </c>
      <c r="G76">
        <v>16.320227392251631</v>
      </c>
      <c r="H76">
        <v>14.969169960474311</v>
      </c>
      <c r="I76">
        <v>6.2519084434096109E-2</v>
      </c>
      <c r="J76">
        <v>0</v>
      </c>
      <c r="K76">
        <v>1</v>
      </c>
      <c r="L76" t="str">
        <f t="shared" si="1"/>
        <v>"CREDITCARD_LAST_MONTH_CNT_INSTALMENT_MATURE_CUM",</v>
      </c>
    </row>
    <row r="77" spans="1:12" x14ac:dyDescent="0.3">
      <c r="A77" t="s">
        <v>24</v>
      </c>
      <c r="B77">
        <v>0</v>
      </c>
      <c r="C77">
        <v>0.51291049111759945</v>
      </c>
      <c r="D77">
        <v>2.5820982235198912E-2</v>
      </c>
      <c r="E77">
        <v>-17.153769673944989</v>
      </c>
      <c r="F77">
        <v>5.3742354804090086E-65</v>
      </c>
      <c r="G77">
        <v>0.60704265629427323</v>
      </c>
      <c r="H77">
        <v>0.68617675936129863</v>
      </c>
      <c r="I77">
        <v>-0.18152921700317209</v>
      </c>
      <c r="J77">
        <v>0</v>
      </c>
      <c r="K77">
        <v>1</v>
      </c>
      <c r="L77" t="str">
        <f t="shared" si="1"/>
        <v>"CREDITCARD_AVG_REPAYMENTCOUNT_RATE",</v>
      </c>
    </row>
    <row r="78" spans="1:12" x14ac:dyDescent="0.3">
      <c r="A78" t="s">
        <v>34</v>
      </c>
      <c r="B78">
        <v>0</v>
      </c>
      <c r="C78">
        <v>0.48797680692871093</v>
      </c>
      <c r="D78">
        <v>2.404638614257815E-2</v>
      </c>
      <c r="E78">
        <v>4.1051896361012457</v>
      </c>
      <c r="F78">
        <v>4.0745817307428127E-5</v>
      </c>
      <c r="G78">
        <v>2.1158819257494481</v>
      </c>
      <c r="H78">
        <v>1.9784203149141919</v>
      </c>
      <c r="I78">
        <v>4.7468989494076963E-2</v>
      </c>
      <c r="J78">
        <v>-0.11003788167184191</v>
      </c>
      <c r="K78">
        <v>1</v>
      </c>
      <c r="L78" t="str">
        <f t="shared" si="1"/>
        <v>"CREDITCARD_AVG_CNT_INSTALMENT_MATURE_CUM_YOY_ABS_CHANGE",</v>
      </c>
    </row>
    <row r="79" spans="1:12" x14ac:dyDescent="0.3">
      <c r="A79" t="s">
        <v>82</v>
      </c>
      <c r="B79">
        <v>0</v>
      </c>
      <c r="C79">
        <v>0.48838132141580592</v>
      </c>
      <c r="D79">
        <v>2.3237357168388258E-2</v>
      </c>
      <c r="E79">
        <v>7.6931844705263046</v>
      </c>
      <c r="F79">
        <v>1.5933994371547701E-14</v>
      </c>
      <c r="G79">
        <v>90.800443264631483</v>
      </c>
      <c r="H79">
        <v>88.623320158102771</v>
      </c>
      <c r="I79">
        <v>0.10758969743223649</v>
      </c>
      <c r="J79">
        <v>-1.853634300884479E-2</v>
      </c>
      <c r="K79">
        <v>1</v>
      </c>
      <c r="L79" t="str">
        <f t="shared" si="1"/>
        <v>"CREDITCARD_DAYS_TO_DPD_GE7",</v>
      </c>
    </row>
    <row r="80" spans="1:12" x14ac:dyDescent="0.3">
      <c r="A80" t="s">
        <v>49</v>
      </c>
      <c r="B80">
        <v>0</v>
      </c>
      <c r="C80">
        <v>0.51116959858522748</v>
      </c>
      <c r="D80">
        <v>2.2339197170454961E-2</v>
      </c>
      <c r="E80">
        <v>-8.8556952094219952</v>
      </c>
      <c r="F80">
        <v>1.0021789502665949E-18</v>
      </c>
      <c r="G80">
        <v>2.588214670306278E-2</v>
      </c>
      <c r="H80">
        <v>4.8221343873517793E-2</v>
      </c>
      <c r="I80">
        <v>-0.13593180188618351</v>
      </c>
      <c r="J80">
        <v>-2.5050928357970171E-2</v>
      </c>
      <c r="K80">
        <v>1</v>
      </c>
      <c r="L80" t="str">
        <f t="shared" si="1"/>
        <v>"CREDITCARD_MAX_LY_DPD",</v>
      </c>
    </row>
    <row r="81" spans="1:12" x14ac:dyDescent="0.3">
      <c r="A81" t="s">
        <v>26</v>
      </c>
      <c r="B81">
        <v>0</v>
      </c>
      <c r="C81">
        <v>0.51111949238919352</v>
      </c>
      <c r="D81">
        <v>2.2238984778387039E-2</v>
      </c>
      <c r="E81">
        <v>-6.5304290114257109</v>
      </c>
      <c r="F81">
        <v>6.9239350820850132E-11</v>
      </c>
      <c r="G81">
        <v>6.7879592296711824E-2</v>
      </c>
      <c r="H81">
        <v>9.0118577075098807E-2</v>
      </c>
      <c r="I81">
        <v>-8.7296584699617069E-2</v>
      </c>
      <c r="J81">
        <v>0</v>
      </c>
      <c r="K81">
        <v>1</v>
      </c>
      <c r="L81" t="str">
        <f t="shared" si="1"/>
        <v>"CREDITCARD_MAX_DPD",</v>
      </c>
    </row>
    <row r="82" spans="1:12" x14ac:dyDescent="0.3">
      <c r="A82" t="s">
        <v>77</v>
      </c>
      <c r="B82">
        <v>0</v>
      </c>
      <c r="C82">
        <v>0.51061431017913017</v>
      </c>
      <c r="D82">
        <v>2.1228620358260342E-2</v>
      </c>
      <c r="E82">
        <v>-3.8962016355675</v>
      </c>
      <c r="F82">
        <v>9.8439982985427604E-5</v>
      </c>
      <c r="G82">
        <v>1854.2888403860329</v>
      </c>
      <c r="H82">
        <v>2354.2579853964698</v>
      </c>
      <c r="I82">
        <v>-5.1605731730928389E-2</v>
      </c>
      <c r="J82">
        <v>-6.8887251210512281E-3</v>
      </c>
      <c r="K82">
        <v>1</v>
      </c>
      <c r="L82" t="str">
        <f t="shared" si="1"/>
        <v>"CREDITCARD_AVG_LS_AMT_DRAWINGS_CURRENT_YOY_PCT_CHANGE",</v>
      </c>
    </row>
    <row r="83" spans="1:12" x14ac:dyDescent="0.3">
      <c r="A83" t="s">
        <v>104</v>
      </c>
      <c r="B83">
        <v>0</v>
      </c>
      <c r="C83">
        <v>0.50665629023636261</v>
      </c>
      <c r="D83">
        <v>1.3312580472725211E-2</v>
      </c>
      <c r="E83">
        <v>-1.448892891290557</v>
      </c>
      <c r="F83">
        <v>0.14740535033692009</v>
      </c>
      <c r="G83">
        <v>993.9872904803226</v>
      </c>
      <c r="H83">
        <v>1341.2211478845541</v>
      </c>
      <c r="I83">
        <v>-2.3627179450254918E-2</v>
      </c>
      <c r="J83">
        <v>6.1736386320509276E-3</v>
      </c>
      <c r="K83">
        <v>1</v>
      </c>
      <c r="L83" t="str">
        <f t="shared" si="1"/>
        <v>"CREDITCARD_LAST_MONTH_AMT_PAYMENT_TOTAL_CURRENT_YOY_PCT_CHANGE",</v>
      </c>
    </row>
    <row r="84" spans="1:12" x14ac:dyDescent="0.3">
      <c r="A84" t="s">
        <v>83</v>
      </c>
      <c r="B84">
        <v>0</v>
      </c>
      <c r="C84">
        <v>0.50515300124598983</v>
      </c>
      <c r="D84">
        <v>1.030600249197966E-2</v>
      </c>
      <c r="E84">
        <v>-1.888930939185365</v>
      </c>
      <c r="F84">
        <v>5.8932758936242342E-2</v>
      </c>
      <c r="G84">
        <v>79.126743632766519</v>
      </c>
      <c r="H84">
        <v>79.88682476943346</v>
      </c>
      <c r="I84">
        <v>-2.2484909639242861E-2</v>
      </c>
      <c r="J84">
        <v>6.3129784011251439E-3</v>
      </c>
      <c r="K84">
        <v>1</v>
      </c>
      <c r="L84" t="str">
        <f t="shared" si="1"/>
        <v>"CREDITCARD_DAYS_TO_DPD_GE1",</v>
      </c>
    </row>
    <row r="85" spans="1:12" x14ac:dyDescent="0.3">
      <c r="A85" t="s">
        <v>27</v>
      </c>
      <c r="B85">
        <v>0</v>
      </c>
      <c r="C85">
        <v>0.49494909845966512</v>
      </c>
      <c r="D85">
        <v>1.010180308066988E-2</v>
      </c>
      <c r="E85">
        <v>2.1394552687798671</v>
      </c>
      <c r="F85">
        <v>3.2425182051818227E-2</v>
      </c>
      <c r="G85">
        <v>0.20022038015576871</v>
      </c>
      <c r="H85">
        <v>0.1901185770750988</v>
      </c>
      <c r="I85">
        <v>2.5286030963982891E-2</v>
      </c>
      <c r="J85">
        <v>2.418260844959021E-2</v>
      </c>
      <c r="K85">
        <v>1</v>
      </c>
      <c r="L85" t="str">
        <f t="shared" si="1"/>
        <v>"CREDITCARD_MAX_DPDUTP",</v>
      </c>
    </row>
    <row r="86" spans="1:12" x14ac:dyDescent="0.3">
      <c r="A86" t="s">
        <v>28</v>
      </c>
      <c r="B86">
        <v>0</v>
      </c>
      <c r="C86">
        <v>0.49590773415498779</v>
      </c>
      <c r="D86">
        <v>8.1845316900243104E-3</v>
      </c>
      <c r="E86">
        <v>-0.49600646664338122</v>
      </c>
      <c r="F86">
        <v>0.61990184413577798</v>
      </c>
      <c r="G86">
        <v>2.0645305075050011E-2</v>
      </c>
      <c r="H86">
        <v>2.110701406140824E-2</v>
      </c>
      <c r="I86">
        <v>-5.9653741679223547E-3</v>
      </c>
      <c r="J86">
        <v>1.2241911995650279E-4</v>
      </c>
      <c r="K86">
        <v>1</v>
      </c>
      <c r="L86" t="str">
        <f t="shared" si="1"/>
        <v>"CREDITCARD_DAYS_IN_DPD_RATIO",</v>
      </c>
    </row>
    <row r="87" spans="1:12" x14ac:dyDescent="0.3">
      <c r="A87" t="s">
        <v>120</v>
      </c>
      <c r="B87">
        <v>0</v>
      </c>
      <c r="C87">
        <v>0.50305983024934087</v>
      </c>
      <c r="D87">
        <v>6.1196604986817338E-3</v>
      </c>
      <c r="E87">
        <v>-4.0850205401829474</v>
      </c>
      <c r="F87">
        <v>4.4476618359427382E-5</v>
      </c>
      <c r="G87">
        <v>1.021762540382159E-2</v>
      </c>
      <c r="H87">
        <v>1.6337285902503291E-2</v>
      </c>
      <c r="I87">
        <v>-5.9354087257316702E-2</v>
      </c>
      <c r="J87">
        <v>0</v>
      </c>
      <c r="K87">
        <v>1</v>
      </c>
      <c r="L87" t="str">
        <f t="shared" si="1"/>
        <v>"CREDITCARD_LAST_MONTH_DPD_UTP",</v>
      </c>
    </row>
    <row r="88" spans="1:12" x14ac:dyDescent="0.3">
      <c r="A88" t="s">
        <v>99</v>
      </c>
      <c r="B88">
        <v>0</v>
      </c>
      <c r="C88">
        <v>0.50279642132348923</v>
      </c>
      <c r="D88">
        <v>5.5928426469784584E-3</v>
      </c>
      <c r="E88">
        <v>0.77411882114372643</v>
      </c>
      <c r="F88">
        <v>0.4388805257835382</v>
      </c>
      <c r="G88">
        <v>9.8821592246625425</v>
      </c>
      <c r="H88">
        <v>8.7702239789196312</v>
      </c>
      <c r="I88">
        <v>9.1564087480822988E-3</v>
      </c>
      <c r="J88">
        <v>3.179179476596287E-3</v>
      </c>
      <c r="K88">
        <v>1</v>
      </c>
      <c r="L88" t="str">
        <f t="shared" si="1"/>
        <v>"CREDITCARD_LAST_MONTH_SK_DPD",</v>
      </c>
    </row>
    <row r="89" spans="1:12" x14ac:dyDescent="0.3">
      <c r="A89" t="s">
        <v>58</v>
      </c>
      <c r="B89">
        <v>0</v>
      </c>
      <c r="C89">
        <v>0.50277189367073227</v>
      </c>
      <c r="D89">
        <v>5.5437873414645464E-3</v>
      </c>
      <c r="E89">
        <v>-0.1106677113765326</v>
      </c>
      <c r="F89">
        <v>0.91188214826652936</v>
      </c>
      <c r="G89">
        <v>0.95609367446724403</v>
      </c>
      <c r="H89">
        <v>1.009290068005483</v>
      </c>
      <c r="I89">
        <v>-1.1696721228366569E-3</v>
      </c>
      <c r="J89">
        <v>3.0336793165137231E-2</v>
      </c>
      <c r="K89">
        <v>1</v>
      </c>
      <c r="L89" t="str">
        <f t="shared" si="1"/>
        <v>"CREDITCARD_AVG_LY_SK_DPD_YOY_ABS_CHANGE",</v>
      </c>
    </row>
    <row r="90" spans="1:12" x14ac:dyDescent="0.3">
      <c r="A90" t="s">
        <v>12</v>
      </c>
      <c r="B90">
        <v>0</v>
      </c>
      <c r="C90">
        <v>0.49798468481318681</v>
      </c>
      <c r="D90">
        <v>4.0306303736263871E-3</v>
      </c>
      <c r="E90">
        <v>2.8671210273970531</v>
      </c>
      <c r="F90">
        <v>4.1515339618017526E-3</v>
      </c>
      <c r="G90">
        <v>208687.5816762936</v>
      </c>
      <c r="H90">
        <v>202453.11296944291</v>
      </c>
      <c r="I90">
        <v>3.2575908488755662E-2</v>
      </c>
      <c r="J90">
        <v>-0.225032915085351</v>
      </c>
      <c r="K90">
        <v>1</v>
      </c>
      <c r="L90" t="str">
        <f t="shared" si="1"/>
        <v>"CREDITCARD_AVG_LIMIT_AMOUNT",</v>
      </c>
    </row>
    <row r="91" spans="1:12" x14ac:dyDescent="0.3">
      <c r="A91" t="s">
        <v>105</v>
      </c>
      <c r="B91">
        <v>0</v>
      </c>
      <c r="C91">
        <v>0.50012724931402575</v>
      </c>
      <c r="D91">
        <v>2.5449862805149159E-4</v>
      </c>
      <c r="E91">
        <v>0.19986475214236751</v>
      </c>
      <c r="F91">
        <v>0.84159070849678919</v>
      </c>
      <c r="G91">
        <v>0.81902531867471384</v>
      </c>
      <c r="H91">
        <v>0.68656126482213442</v>
      </c>
      <c r="I91">
        <v>2.259248088417304E-3</v>
      </c>
      <c r="J91">
        <v>2.999082573262794E-2</v>
      </c>
      <c r="K91">
        <v>1</v>
      </c>
      <c r="L91" t="str">
        <f t="shared" si="1"/>
        <v>"CREDITCARD_LAST_MONTH_SK_DPD_YOY_ABS_CHANGE",</v>
      </c>
    </row>
    <row r="92" spans="1:12" x14ac:dyDescent="0.3">
      <c r="A92" t="s">
        <v>89</v>
      </c>
      <c r="B92">
        <v>0</v>
      </c>
      <c r="C92">
        <v>0.53878599592861565</v>
      </c>
      <c r="D92">
        <v>7.7571991857231293E-2</v>
      </c>
      <c r="E92">
        <v>0.53364415733625825</v>
      </c>
      <c r="F92">
        <v>0.59359903463068964</v>
      </c>
      <c r="G92">
        <v>4394.6903646289848</v>
      </c>
      <c r="H92">
        <v>4260.881703557312</v>
      </c>
      <c r="I92">
        <v>4.9513493410674814E-3</v>
      </c>
      <c r="J92">
        <v>-0.1128685867833943</v>
      </c>
      <c r="K92">
        <v>0</v>
      </c>
      <c r="L92" t="str">
        <f t="shared" si="1"/>
        <v>"CREDITCARD_LAST_MONTH_AMT_DRAWINGS_POS_CURRENT",</v>
      </c>
    </row>
    <row r="93" spans="1:12" x14ac:dyDescent="0.3">
      <c r="A93" t="s">
        <v>55</v>
      </c>
      <c r="B93">
        <v>0</v>
      </c>
      <c r="C93">
        <v>0.52315488535906263</v>
      </c>
      <c r="D93">
        <v>4.6309770718125247E-2</v>
      </c>
      <c r="E93">
        <v>-2.332023225105873</v>
      </c>
      <c r="F93">
        <v>1.972208185609977E-2</v>
      </c>
      <c r="G93">
        <v>990.94388597680063</v>
      </c>
      <c r="H93">
        <v>1168.9923831524479</v>
      </c>
      <c r="I93">
        <v>-3.122346722728235E-2</v>
      </c>
      <c r="J93">
        <v>-5.5660922167820462E-3</v>
      </c>
      <c r="K93">
        <v>0</v>
      </c>
      <c r="L93" t="str">
        <f t="shared" si="1"/>
        <v>"CREDITCARD_AVG_LY_AMT_PAYMENT_TOTAL_CURRENT_YOY_PCT_CHANGE",</v>
      </c>
    </row>
    <row r="94" spans="1:12" x14ac:dyDescent="0.3">
      <c r="A94" t="s">
        <v>76</v>
      </c>
      <c r="B94">
        <v>0</v>
      </c>
      <c r="C94">
        <v>0.52230258015234377</v>
      </c>
      <c r="D94">
        <v>4.460516030468753E-2</v>
      </c>
      <c r="E94">
        <v>0.20713673898526991</v>
      </c>
      <c r="F94">
        <v>0.83590724836175823</v>
      </c>
      <c r="G94">
        <v>22.594073111642722</v>
      </c>
      <c r="H94">
        <v>19.502209485672761</v>
      </c>
      <c r="I94">
        <v>2.0369804430102078E-3</v>
      </c>
      <c r="J94">
        <v>0</v>
      </c>
      <c r="K94">
        <v>0</v>
      </c>
      <c r="L94" t="str">
        <f t="shared" si="1"/>
        <v>"CREDITCARD_AVG_LS_AMT_CREDIT_LIMIT_ACTUAL_YOY_PCT_CHANGE",</v>
      </c>
    </row>
    <row r="95" spans="1:12" x14ac:dyDescent="0.3">
      <c r="A95" t="s">
        <v>86</v>
      </c>
      <c r="B95">
        <v>0</v>
      </c>
      <c r="C95">
        <v>0.52177613349430929</v>
      </c>
      <c r="D95">
        <v>4.3552266988618582E-2</v>
      </c>
      <c r="E95">
        <v>-1.223952101473416</v>
      </c>
      <c r="F95">
        <v>0.2210011451464019</v>
      </c>
      <c r="G95">
        <v>174856.85307154839</v>
      </c>
      <c r="H95">
        <v>177713.83399209479</v>
      </c>
      <c r="I95">
        <v>-1.3814786067575449E-2</v>
      </c>
      <c r="J95">
        <v>-0.24397120824115651</v>
      </c>
      <c r="K95">
        <v>0</v>
      </c>
      <c r="L95" t="str">
        <f t="shared" si="1"/>
        <v>"CREDITCARD_LAST_MONTH_AMT_CREDIT_LIMIT_ACTUAL",</v>
      </c>
    </row>
    <row r="96" spans="1:12" x14ac:dyDescent="0.3">
      <c r="A96" t="s">
        <v>59</v>
      </c>
      <c r="B96">
        <v>0</v>
      </c>
      <c r="C96">
        <v>0.51994497820994179</v>
      </c>
      <c r="D96">
        <v>3.9889956419883577E-2</v>
      </c>
      <c r="E96">
        <v>-0.7182595576619093</v>
      </c>
      <c r="F96">
        <v>0.47261521579750809</v>
      </c>
      <c r="G96">
        <v>179175.94099822189</v>
      </c>
      <c r="H96">
        <v>180847.80632411069</v>
      </c>
      <c r="I96">
        <v>-8.1102345409337848E-3</v>
      </c>
      <c r="J96">
        <v>-1.5977114205232151E-2</v>
      </c>
      <c r="K96">
        <v>0</v>
      </c>
      <c r="L96" t="str">
        <f t="shared" si="1"/>
        <v>"CREDITCARD_AVG_LS_LIMIT_AMOUNT",</v>
      </c>
    </row>
    <row r="97" spans="1:12" x14ac:dyDescent="0.3">
      <c r="A97" t="s">
        <v>36</v>
      </c>
      <c r="B97">
        <v>0</v>
      </c>
      <c r="C97">
        <v>0.51863430986303816</v>
      </c>
      <c r="D97">
        <v>3.7268619726076313E-2</v>
      </c>
      <c r="E97">
        <v>-0.18014422389859849</v>
      </c>
      <c r="F97">
        <v>0.85704324909712681</v>
      </c>
      <c r="G97">
        <v>183554.69991742249</v>
      </c>
      <c r="H97">
        <v>183972.8817180843</v>
      </c>
      <c r="I97">
        <v>-2.0326211804934801E-3</v>
      </c>
      <c r="J97">
        <v>-2.1931390002370502E-3</v>
      </c>
      <c r="K97">
        <v>0</v>
      </c>
      <c r="L97" t="str">
        <f t="shared" si="1"/>
        <v>"CREDITCARD_AVG_LY_LIMIT_AMOUNT",</v>
      </c>
    </row>
    <row r="98" spans="1:12" x14ac:dyDescent="0.3">
      <c r="A98" t="s">
        <v>33</v>
      </c>
      <c r="B98">
        <v>0</v>
      </c>
      <c r="C98">
        <v>0.51420393855289692</v>
      </c>
      <c r="D98">
        <v>2.840787710579384E-2</v>
      </c>
      <c r="E98">
        <v>1.53987846382729</v>
      </c>
      <c r="F98">
        <v>0.12362628396421491</v>
      </c>
      <c r="G98">
        <v>-5.3150764144089417E-2</v>
      </c>
      <c r="H98">
        <v>-6.93980912128324E-2</v>
      </c>
      <c r="I98">
        <v>2.0748227370974998E-2</v>
      </c>
      <c r="J98">
        <v>-1.368203260720606E-2</v>
      </c>
      <c r="K98">
        <v>0</v>
      </c>
      <c r="L98" t="str">
        <f t="shared" si="1"/>
        <v>"CREDITCARD_AVG_CNT_DRAWINGS_CURRENT_YOY_ABS_CHANGE",</v>
      </c>
    </row>
    <row r="99" spans="1:12" x14ac:dyDescent="0.3">
      <c r="A99" t="s">
        <v>35</v>
      </c>
      <c r="B99">
        <v>0</v>
      </c>
      <c r="C99">
        <v>0.51120231971956631</v>
      </c>
      <c r="D99">
        <v>2.240463943913262E-2</v>
      </c>
      <c r="E99">
        <v>0.86333132525474321</v>
      </c>
      <c r="F99">
        <v>0.38797799070255962</v>
      </c>
      <c r="G99">
        <v>1.3381200674226661</v>
      </c>
      <c r="H99">
        <v>1.176267413765818</v>
      </c>
      <c r="I99">
        <v>1.0253982364766351E-2</v>
      </c>
      <c r="J99">
        <v>0</v>
      </c>
      <c r="K99">
        <v>0</v>
      </c>
      <c r="L99" t="str">
        <f t="shared" si="1"/>
        <v>"CREDITCARD_AVG_SK_DPD_YOY_ABS_CHANGE",</v>
      </c>
    </row>
    <row r="100" spans="1:12" x14ac:dyDescent="0.3">
      <c r="A100" t="s">
        <v>102</v>
      </c>
      <c r="B100">
        <v>0</v>
      </c>
      <c r="C100">
        <v>0.50861904027530502</v>
      </c>
      <c r="D100">
        <v>1.723808055061005E-2</v>
      </c>
      <c r="E100">
        <v>1.3535101164185259</v>
      </c>
      <c r="F100">
        <v>0.17590589619070779</v>
      </c>
      <c r="G100">
        <v>25.01929338640597</v>
      </c>
      <c r="H100">
        <v>8.861746027909243</v>
      </c>
      <c r="I100">
        <v>7.4712624219359057E-3</v>
      </c>
      <c r="J100">
        <v>-1.311031646296241E-2</v>
      </c>
      <c r="K100">
        <v>0</v>
      </c>
      <c r="L100" t="str">
        <f t="shared" si="1"/>
        <v>"CREDITCARD_LAST_MONTH_AMT_CREDIT_LIMIT_ACTUAL_YOY_PCT_CHANGE",</v>
      </c>
    </row>
    <row r="101" spans="1:12" x14ac:dyDescent="0.3">
      <c r="A101" t="s">
        <v>106</v>
      </c>
      <c r="B101">
        <v>0</v>
      </c>
      <c r="C101">
        <v>0.50663670770814828</v>
      </c>
      <c r="D101">
        <v>1.327341541629656E-2</v>
      </c>
      <c r="E101">
        <v>0.77220322131948604</v>
      </c>
      <c r="F101">
        <v>0.4400156348626143</v>
      </c>
      <c r="G101">
        <v>-5.3817835766697547E-2</v>
      </c>
      <c r="H101">
        <v>-9.5388669301712775E-2</v>
      </c>
      <c r="I101">
        <v>1.1504183872670401E-2</v>
      </c>
      <c r="J101">
        <v>-6.679631478369385E-3</v>
      </c>
      <c r="K101">
        <v>0</v>
      </c>
      <c r="L101" t="str">
        <f t="shared" si="1"/>
        <v>"CREDITCARD_LAST_MONTH_CNT_DRAWINGS_CURRENT_YOY_ABS_CHANGE",</v>
      </c>
    </row>
    <row r="102" spans="1:12" x14ac:dyDescent="0.3">
      <c r="A102" t="s">
        <v>31</v>
      </c>
      <c r="B102">
        <v>0</v>
      </c>
      <c r="C102">
        <v>0.4958099617426357</v>
      </c>
      <c r="D102">
        <v>8.3800765147286072E-3</v>
      </c>
      <c r="E102">
        <v>-1.7881522377411889</v>
      </c>
      <c r="F102">
        <v>7.3785905463607734E-2</v>
      </c>
      <c r="G102">
        <v>1294.7159995905961</v>
      </c>
      <c r="H102">
        <v>1390.64595732577</v>
      </c>
      <c r="I102">
        <v>-2.3535019719184241E-2</v>
      </c>
      <c r="J102">
        <v>-1.7357119503459719E-2</v>
      </c>
      <c r="K102">
        <v>0</v>
      </c>
      <c r="L102" t="str">
        <f t="shared" si="1"/>
        <v>"CREDITCARD_AVG_AMT_DRAWINGS_CURRENT_YOY_PCT_CHANGE",</v>
      </c>
    </row>
    <row r="103" spans="1:12" x14ac:dyDescent="0.3">
      <c r="A103" t="s">
        <v>100</v>
      </c>
      <c r="B103">
        <v>0</v>
      </c>
      <c r="C103">
        <v>0.50271642083912282</v>
      </c>
      <c r="D103">
        <v>5.4328416782456479E-3</v>
      </c>
      <c r="E103">
        <v>-1.2115130824474689</v>
      </c>
      <c r="F103">
        <v>0.22573503256401031</v>
      </c>
      <c r="G103">
        <v>0.18439307805965291</v>
      </c>
      <c r="H103">
        <v>0.78379446640316208</v>
      </c>
      <c r="I103">
        <v>-2.6285551330197159E-2</v>
      </c>
      <c r="J103">
        <v>0</v>
      </c>
      <c r="K103">
        <v>0</v>
      </c>
      <c r="L103" t="str">
        <f t="shared" si="1"/>
        <v>"CREDITCARD_LAST_MONTH_SK_DPD_DEF",</v>
      </c>
    </row>
    <row r="104" spans="1:12" x14ac:dyDescent="0.3">
      <c r="A104" t="s">
        <v>56</v>
      </c>
      <c r="B104">
        <v>0</v>
      </c>
      <c r="C104">
        <v>0.49739566480109693</v>
      </c>
      <c r="D104">
        <v>5.2086703978062587E-3</v>
      </c>
      <c r="E104">
        <v>0.92701322852461698</v>
      </c>
      <c r="F104">
        <v>0.35394494351212702</v>
      </c>
      <c r="G104">
        <v>-4.6013375598159351E-2</v>
      </c>
      <c r="H104">
        <v>-6.3579004804301245E-2</v>
      </c>
      <c r="I104">
        <v>1.1939510972718991E-2</v>
      </c>
      <c r="J104">
        <v>0</v>
      </c>
      <c r="K104">
        <v>0</v>
      </c>
      <c r="L104" t="str">
        <f t="shared" si="1"/>
        <v>"CREDITCARD_AVG_LY_CNT_DRAWINGS_CURRENT_YOY_ABS_CHANGE",</v>
      </c>
    </row>
    <row r="105" spans="1:12" x14ac:dyDescent="0.3">
      <c r="A105" t="s">
        <v>81</v>
      </c>
      <c r="B105">
        <v>0</v>
      </c>
      <c r="C105">
        <v>0.50191210849915058</v>
      </c>
      <c r="D105">
        <v>3.8242169983011549E-3</v>
      </c>
      <c r="E105">
        <v>0.42119105816568447</v>
      </c>
      <c r="F105">
        <v>0.67362544624441401</v>
      </c>
      <c r="G105">
        <v>0.87232309066472991</v>
      </c>
      <c r="H105">
        <v>0.6089174352217831</v>
      </c>
      <c r="I105">
        <v>4.9603663709817392E-3</v>
      </c>
      <c r="J105">
        <v>-5.335891855589666E-2</v>
      </c>
      <c r="K105">
        <v>0</v>
      </c>
      <c r="L105" t="str">
        <f t="shared" si="1"/>
        <v>"CREDITCARD_AVG_LS_SK_DPD_YOY_ABS_CHANGE",</v>
      </c>
    </row>
    <row r="106" spans="1:12" x14ac:dyDescent="0.3">
      <c r="A106" t="s">
        <v>118</v>
      </c>
      <c r="B106">
        <v>0</v>
      </c>
      <c r="C106">
        <v>0.50155121504225886</v>
      </c>
      <c r="D106">
        <v>3.1024300845177159E-3</v>
      </c>
      <c r="E106">
        <v>-2.2545286618852729</v>
      </c>
      <c r="F106">
        <v>2.4187577496534059E-2</v>
      </c>
      <c r="G106">
        <v>1.0468057399013299E-2</v>
      </c>
      <c r="H106">
        <v>1.3570487483530959E-2</v>
      </c>
      <c r="I106">
        <v>-3.0102938870737918E-2</v>
      </c>
      <c r="J106">
        <v>-1.758880288008307E-2</v>
      </c>
      <c r="K106">
        <v>0</v>
      </c>
      <c r="L106" t="str">
        <f t="shared" si="1"/>
        <v>"CREDITCARD_LAST_MONTH_DPD_GE_7",</v>
      </c>
    </row>
    <row r="107" spans="1:12" x14ac:dyDescent="0.3">
      <c r="A107" t="s">
        <v>79</v>
      </c>
      <c r="B107">
        <v>0</v>
      </c>
      <c r="C107">
        <v>0.49866267664817993</v>
      </c>
      <c r="D107">
        <v>2.6746467036402599E-3</v>
      </c>
      <c r="E107">
        <v>1.016327056597456</v>
      </c>
      <c r="F107">
        <v>0.30950176523681638</v>
      </c>
      <c r="G107">
        <v>-4.721770053342015E-2</v>
      </c>
      <c r="H107">
        <v>-7.664031620553359E-2</v>
      </c>
      <c r="I107">
        <v>1.352553351301671E-2</v>
      </c>
      <c r="J107">
        <v>-6.9231740339558041E-3</v>
      </c>
      <c r="K107">
        <v>0</v>
      </c>
      <c r="L107" t="str">
        <f t="shared" si="1"/>
        <v>"CREDITCARD_AVG_LS_CNT_DRAWINGS_CURRENT_YOY_ABS_CHANGE",</v>
      </c>
    </row>
    <row r="108" spans="1:12" x14ac:dyDescent="0.3">
      <c r="A108" t="s">
        <v>119</v>
      </c>
      <c r="B108">
        <v>0</v>
      </c>
      <c r="C108">
        <v>0.49932174338018992</v>
      </c>
      <c r="D108">
        <v>1.3565132396201609E-3</v>
      </c>
      <c r="E108">
        <v>1.3449569108575079</v>
      </c>
      <c r="F108">
        <v>0.1786716145517562</v>
      </c>
      <c r="G108">
        <v>8.339385439883799E-3</v>
      </c>
      <c r="H108">
        <v>6.9828722002635048E-3</v>
      </c>
      <c r="I108">
        <v>1.5022287569781859E-2</v>
      </c>
      <c r="J108">
        <v>-6.8443738124271708E-2</v>
      </c>
      <c r="K108">
        <v>0</v>
      </c>
      <c r="L108" t="str">
        <f t="shared" si="1"/>
        <v>"CREDITCARD_LAST_MONTH_DPD_GE_30",</v>
      </c>
    </row>
    <row r="109" spans="1:12" x14ac:dyDescent="0.3">
      <c r="A109" t="s">
        <v>32</v>
      </c>
      <c r="B109">
        <v>0</v>
      </c>
      <c r="C109">
        <v>0.49954009516877751</v>
      </c>
      <c r="D109">
        <v>9.1980966244498141E-4</v>
      </c>
      <c r="E109">
        <v>-1.821770144951695</v>
      </c>
      <c r="F109">
        <v>6.8523944616846383E-2</v>
      </c>
      <c r="G109">
        <v>843.54557622666914</v>
      </c>
      <c r="H109">
        <v>925.9450046370149</v>
      </c>
      <c r="I109">
        <v>-2.41505633412222E-2</v>
      </c>
      <c r="J109">
        <v>0</v>
      </c>
      <c r="K109">
        <v>0</v>
      </c>
      <c r="L109" t="str">
        <f t="shared" si="1"/>
        <v>"CREDITCARD_AVG_AMT_PAYMENT_TOTAL_CURRENT_YOY_PCT_CHANGE",</v>
      </c>
    </row>
    <row r="110" spans="1:12" x14ac:dyDescent="0.3">
      <c r="A110" t="s">
        <v>25</v>
      </c>
      <c r="B110">
        <v>0</v>
      </c>
      <c r="C110">
        <v>0.5</v>
      </c>
      <c r="D110">
        <v>0</v>
      </c>
      <c r="G110">
        <v>0</v>
      </c>
      <c r="H110">
        <v>0</v>
      </c>
      <c r="J110">
        <v>0</v>
      </c>
      <c r="K110">
        <v>0</v>
      </c>
      <c r="L110" t="str">
        <f t="shared" si="1"/>
        <v>"CREDITCARD_ISNULL_DRAWINGS_CURRENT_FLAG",</v>
      </c>
    </row>
    <row r="111" spans="1:12" x14ac:dyDescent="0.3">
      <c r="A111" t="s">
        <v>116</v>
      </c>
      <c r="B111">
        <v>0</v>
      </c>
      <c r="C111">
        <v>0.5</v>
      </c>
      <c r="D111">
        <v>0</v>
      </c>
      <c r="G111">
        <v>0</v>
      </c>
      <c r="H111">
        <v>0</v>
      </c>
      <c r="J111">
        <v>0</v>
      </c>
      <c r="K111">
        <v>0</v>
      </c>
      <c r="L111" t="str">
        <f t="shared" si="1"/>
        <v>"CREDITCARD_LAST_MONTH_ISNULL_DRAWINGS_CURRENT_FLAG",</v>
      </c>
    </row>
  </sheetData>
  <autoFilter ref="A1:K111" xr:uid="{00000000-0001-0000-0000-000000000000}">
    <sortState xmlns:xlrd2="http://schemas.microsoft.com/office/spreadsheetml/2017/richdata2" ref="A2:K111">
      <sortCondition descending="1" ref="K1:K11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FC90C-0F93-49F2-BEE7-CB2C054FDCA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Dominic Joseph</cp:lastModifiedBy>
  <dcterms:created xsi:type="dcterms:W3CDTF">2025-08-19T20:52:53Z</dcterms:created>
  <dcterms:modified xsi:type="dcterms:W3CDTF">2025-08-21T17:39:05Z</dcterms:modified>
</cp:coreProperties>
</file>